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/>
  <mc:AlternateContent xmlns:mc="http://schemas.openxmlformats.org/markup-compatibility/2006">
    <mc:Choice Requires="x15">
      <x15ac:absPath xmlns:x15ac="http://schemas.microsoft.com/office/spreadsheetml/2010/11/ac" url="/Users/lwh/Desktop/"/>
    </mc:Choice>
  </mc:AlternateContent>
  <xr:revisionPtr revIDLastSave="0" documentId="13_ncr:1_{AD0A573C-AB75-9341-92C7-CA12CCA1033C}" xr6:coauthVersionLast="47" xr6:coauthVersionMax="47" xr10:uidLastSave="{00000000-0000-0000-0000-000000000000}"/>
  <bookViews>
    <workbookView xWindow="0" yWindow="760" windowWidth="34560" windowHeight="19820" tabRatio="692" activeTab="8" xr2:uid="{00000000-000D-0000-FFFF-FFFF00000000}"/>
  </bookViews>
  <sheets>
    <sheet name="Hyrax" sheetId="14" r:id="rId1"/>
    <sheet name="Virgo" sheetId="2" r:id="rId2"/>
    <sheet name="PIP_FRI" sheetId="5" r:id="rId3"/>
    <sheet name="WHIR &amp; STIR" sheetId="18" r:id="rId4"/>
    <sheet name="Dory" sheetId="19" r:id="rId5"/>
    <sheet name="PolyFRIM" sheetId="10" r:id="rId6"/>
    <sheet name="Orion" sheetId="6" r:id="rId7"/>
    <sheet name="Deepfold" sheetId="7" r:id="rId8"/>
    <sheet name="SNARK" sheetId="11" r:id="rId9"/>
    <sheet name="de_pip_fri" sheetId="16" r:id="rId10"/>
    <sheet name="de_dory" sheetId="22" r:id="rId11"/>
    <sheet name="de_demkzg" sheetId="21" r:id="rId12"/>
    <sheet name="de_snark" sheetId="2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25" l="1"/>
  <c r="S8" i="25" s="1"/>
  <c r="N19" i="25"/>
  <c r="M19" i="25"/>
  <c r="K19" i="25"/>
  <c r="J19" i="25"/>
  <c r="E19" i="25"/>
  <c r="D19" i="25"/>
  <c r="K26" i="16"/>
  <c r="I26" i="16"/>
  <c r="G26" i="16"/>
  <c r="M8" i="25"/>
  <c r="Q17" i="16"/>
  <c r="R17" i="16" s="1"/>
  <c r="N8" i="25" s="1"/>
  <c r="P17" i="16"/>
  <c r="J8" i="25"/>
  <c r="K8" i="25"/>
  <c r="E8" i="25"/>
  <c r="H8" i="25"/>
  <c r="F8" i="25"/>
  <c r="D8" i="25" s="1"/>
  <c r="H4" i="19"/>
  <c r="H5" i="19"/>
  <c r="H6" i="19"/>
  <c r="H7" i="19"/>
  <c r="H3" i="19"/>
  <c r="S4" i="21"/>
  <c r="S5" i="21"/>
  <c r="S6" i="21"/>
  <c r="S7" i="21"/>
  <c r="S3" i="21"/>
  <c r="I12" i="21"/>
  <c r="R7" i="16"/>
  <c r="B39" i="16"/>
  <c r="B38" i="16"/>
  <c r="B37" i="16"/>
  <c r="L36" i="16"/>
  <c r="I36" i="16"/>
  <c r="F36" i="16"/>
  <c r="B36" i="16"/>
  <c r="L35" i="16"/>
  <c r="I35" i="16"/>
  <c r="F35" i="16"/>
  <c r="B35" i="16"/>
  <c r="L34" i="16"/>
  <c r="I34" i="16"/>
  <c r="F34" i="16"/>
  <c r="B34" i="16"/>
  <c r="L33" i="16"/>
  <c r="I33" i="16"/>
  <c r="F33" i="16"/>
  <c r="B33" i="16"/>
  <c r="L32" i="16"/>
  <c r="I32" i="16"/>
  <c r="F32" i="16"/>
  <c r="B32" i="16"/>
  <c r="R8" i="16"/>
  <c r="K22" i="16"/>
  <c r="K23" i="16"/>
  <c r="K24" i="16"/>
  <c r="K25" i="16"/>
  <c r="K21" i="16"/>
  <c r="M15" i="25"/>
  <c r="M16" i="25"/>
  <c r="M17" i="25"/>
  <c r="M18" i="25"/>
  <c r="M14" i="25"/>
  <c r="M4" i="25"/>
  <c r="M5" i="25"/>
  <c r="M6" i="25"/>
  <c r="M7" i="25"/>
  <c r="M3" i="25"/>
  <c r="N15" i="25"/>
  <c r="N16" i="25"/>
  <c r="N17" i="25"/>
  <c r="N18" i="25"/>
  <c r="N14" i="25"/>
  <c r="S13" i="16"/>
  <c r="N4" i="25" s="1"/>
  <c r="S14" i="16"/>
  <c r="N5" i="25" s="1"/>
  <c r="S15" i="16"/>
  <c r="N6" i="25" s="1"/>
  <c r="S16" i="16"/>
  <c r="N7" i="25" s="1"/>
  <c r="S12" i="16"/>
  <c r="N3" i="25" s="1"/>
  <c r="G7" i="25"/>
  <c r="G8" i="25" s="1"/>
  <c r="F7" i="25"/>
  <c r="G6" i="25"/>
  <c r="F6" i="25"/>
  <c r="G5" i="25"/>
  <c r="F5" i="25"/>
  <c r="G4" i="25"/>
  <c r="F4" i="25"/>
  <c r="G3" i="25"/>
  <c r="F3" i="25"/>
  <c r="L19" i="25" l="1"/>
  <c r="Q19" i="25" s="1"/>
  <c r="O8" i="25"/>
  <c r="L8" i="25"/>
  <c r="Q8" i="25" s="1"/>
  <c r="G18" i="25"/>
  <c r="F18" i="25"/>
  <c r="G17" i="25"/>
  <c r="I17" i="25" s="1"/>
  <c r="P17" i="25" s="1"/>
  <c r="R17" i="25" s="1"/>
  <c r="F17" i="25"/>
  <c r="H17" i="25" s="1"/>
  <c r="O17" i="25" s="1"/>
  <c r="G16" i="25"/>
  <c r="I16" i="25" s="1"/>
  <c r="P16" i="25" s="1"/>
  <c r="R16" i="25" s="1"/>
  <c r="F16" i="25"/>
  <c r="H16" i="25" s="1"/>
  <c r="O16" i="25" s="1"/>
  <c r="L15" i="25"/>
  <c r="Q15" i="25" s="1"/>
  <c r="L16" i="25"/>
  <c r="Q16" i="25" s="1"/>
  <c r="L17" i="25"/>
  <c r="Q17" i="25" s="1"/>
  <c r="L18" i="25"/>
  <c r="Q18" i="25" s="1"/>
  <c r="L20" i="25"/>
  <c r="L21" i="25"/>
  <c r="L22" i="25"/>
  <c r="L23" i="25"/>
  <c r="L24" i="25"/>
  <c r="L3" i="25"/>
  <c r="Q3" i="25" s="1"/>
  <c r="L4" i="25"/>
  <c r="Q4" i="25" s="1"/>
  <c r="L5" i="25"/>
  <c r="Q5" i="25" s="1"/>
  <c r="L6" i="25"/>
  <c r="Q6" i="25" s="1"/>
  <c r="L7" i="25"/>
  <c r="Q7" i="25" s="1"/>
  <c r="L9" i="25"/>
  <c r="L10" i="25"/>
  <c r="L11" i="25"/>
  <c r="L12" i="25"/>
  <c r="L13" i="25"/>
  <c r="I20" i="25"/>
  <c r="I21" i="25"/>
  <c r="I22" i="25"/>
  <c r="I23" i="25"/>
  <c r="I24" i="25"/>
  <c r="I3" i="25"/>
  <c r="P3" i="25" s="1"/>
  <c r="R3" i="25" s="1"/>
  <c r="I4" i="25"/>
  <c r="P4" i="25" s="1"/>
  <c r="R4" i="25" s="1"/>
  <c r="I5" i="25"/>
  <c r="P5" i="25" s="1"/>
  <c r="R5" i="25" s="1"/>
  <c r="I6" i="25"/>
  <c r="P6" i="25" s="1"/>
  <c r="R6" i="25" s="1"/>
  <c r="I7" i="25"/>
  <c r="I9" i="25"/>
  <c r="I10" i="25"/>
  <c r="I11" i="25"/>
  <c r="I12" i="25"/>
  <c r="I13" i="25"/>
  <c r="H20" i="25"/>
  <c r="H21" i="25"/>
  <c r="H22" i="25"/>
  <c r="H23" i="25"/>
  <c r="H24" i="25"/>
  <c r="H3" i="25"/>
  <c r="O3" i="25" s="1"/>
  <c r="H4" i="25"/>
  <c r="O4" i="25" s="1"/>
  <c r="H5" i="25"/>
  <c r="O5" i="25" s="1"/>
  <c r="H6" i="25"/>
  <c r="O6" i="25" s="1"/>
  <c r="H7" i="25"/>
  <c r="O7" i="25" s="1"/>
  <c r="H9" i="25"/>
  <c r="H10" i="25"/>
  <c r="H11" i="25"/>
  <c r="H12" i="25"/>
  <c r="H13" i="25"/>
  <c r="G15" i="25"/>
  <c r="I15" i="25" s="1"/>
  <c r="P15" i="25" s="1"/>
  <c r="R15" i="25" s="1"/>
  <c r="F15" i="25"/>
  <c r="H15" i="25" s="1"/>
  <c r="O15" i="25" s="1"/>
  <c r="L14" i="25"/>
  <c r="Q14" i="25" s="1"/>
  <c r="G14" i="25"/>
  <c r="I14" i="25" s="1"/>
  <c r="P14" i="25" s="1"/>
  <c r="R14" i="25" s="1"/>
  <c r="F14" i="25"/>
  <c r="H14" i="25" s="1"/>
  <c r="O14" i="25" s="1"/>
  <c r="H18" i="25" l="1"/>
  <c r="O18" i="25" s="1"/>
  <c r="F19" i="25"/>
  <c r="H19" i="25" s="1"/>
  <c r="O19" i="25" s="1"/>
  <c r="I18" i="25"/>
  <c r="P18" i="25" s="1"/>
  <c r="R18" i="25" s="1"/>
  <c r="G19" i="25"/>
  <c r="I19" i="25" s="1"/>
  <c r="P19" i="25" s="1"/>
  <c r="R19" i="25" s="1"/>
  <c r="P7" i="25"/>
  <c r="R7" i="25" s="1"/>
  <c r="I8" i="25"/>
  <c r="P8" i="25" s="1"/>
  <c r="R8" i="25" s="1"/>
  <c r="I7" i="21"/>
  <c r="G7" i="21"/>
  <c r="S13" i="21"/>
  <c r="S14" i="21"/>
  <c r="S15" i="21"/>
  <c r="S16" i="21"/>
  <c r="S12" i="21"/>
  <c r="I3" i="21"/>
  <c r="I4" i="21"/>
  <c r="I5" i="21"/>
  <c r="I6" i="21"/>
  <c r="G3" i="21"/>
  <c r="G4" i="21"/>
  <c r="G5" i="21"/>
  <c r="I13" i="21"/>
  <c r="I14" i="21"/>
  <c r="I15" i="21"/>
  <c r="I16" i="21"/>
  <c r="G12" i="21"/>
  <c r="G13" i="21"/>
  <c r="G16" i="21"/>
  <c r="G15" i="21"/>
  <c r="G14" i="21"/>
  <c r="Q16" i="21"/>
  <c r="Q15" i="21"/>
  <c r="Q14" i="21"/>
  <c r="Q13" i="21"/>
  <c r="G6" i="21"/>
  <c r="Q12" i="21"/>
  <c r="Q7" i="21"/>
  <c r="Q6" i="21"/>
  <c r="Q5" i="21"/>
  <c r="Q4" i="21"/>
  <c r="Q3" i="21"/>
  <c r="P16" i="16"/>
  <c r="P15" i="16"/>
  <c r="P14" i="16"/>
  <c r="P13" i="16"/>
  <c r="P12" i="16"/>
  <c r="P7" i="16"/>
  <c r="P6" i="16"/>
  <c r="P5" i="16"/>
  <c r="P4" i="16"/>
  <c r="P3" i="16"/>
  <c r="G25" i="16"/>
  <c r="G24" i="16"/>
  <c r="G23" i="16"/>
  <c r="G22" i="16"/>
  <c r="G21" i="16"/>
  <c r="G16" i="16"/>
  <c r="G15" i="16"/>
  <c r="G14" i="16"/>
  <c r="G13" i="16"/>
  <c r="G12" i="16"/>
  <c r="G7" i="16"/>
  <c r="G6" i="16"/>
  <c r="G5" i="16"/>
  <c r="G4" i="16"/>
  <c r="G3" i="16"/>
  <c r="R4" i="11"/>
  <c r="R5" i="11"/>
  <c r="R6" i="11"/>
  <c r="R7" i="11"/>
  <c r="R8" i="11"/>
  <c r="R3" i="11"/>
  <c r="Q15" i="11"/>
  <c r="Q16" i="11"/>
  <c r="Q17" i="11"/>
  <c r="Q18" i="11"/>
  <c r="Q19" i="11"/>
  <c r="Q14" i="11"/>
  <c r="O15" i="11"/>
  <c r="O16" i="11"/>
  <c r="O17" i="11"/>
  <c r="O18" i="11"/>
  <c r="O19" i="11"/>
  <c r="O14" i="11"/>
  <c r="N15" i="11"/>
  <c r="N16" i="11"/>
  <c r="N17" i="11"/>
  <c r="N18" i="11"/>
  <c r="N19" i="11"/>
  <c r="N14" i="11"/>
  <c r="M15" i="11"/>
  <c r="M16" i="11"/>
  <c r="M17" i="11"/>
  <c r="M18" i="11"/>
  <c r="M19" i="11"/>
  <c r="M14" i="11"/>
  <c r="J15" i="11"/>
  <c r="J16" i="11"/>
  <c r="J17" i="11"/>
  <c r="J18" i="11"/>
  <c r="J19" i="11"/>
  <c r="J14" i="11"/>
  <c r="I15" i="11"/>
  <c r="I16" i="11"/>
  <c r="I17" i="11"/>
  <c r="I18" i="11"/>
  <c r="I19" i="11"/>
  <c r="I14" i="11"/>
  <c r="H15" i="11"/>
  <c r="R15" i="11" s="1"/>
  <c r="H16" i="11"/>
  <c r="R16" i="11" s="1"/>
  <c r="H17" i="11"/>
  <c r="R17" i="11" s="1"/>
  <c r="H18" i="11"/>
  <c r="R18" i="11" s="1"/>
  <c r="H19" i="11"/>
  <c r="R19" i="11" s="1"/>
  <c r="H14" i="11"/>
  <c r="R14" i="11" s="1"/>
  <c r="B19" i="11"/>
  <c r="B18" i="11"/>
  <c r="B17" i="11"/>
  <c r="B16" i="11"/>
  <c r="B15" i="11"/>
  <c r="B14" i="11"/>
  <c r="H4" i="11"/>
  <c r="H5" i="11"/>
  <c r="H6" i="11"/>
  <c r="H7" i="11"/>
  <c r="H8" i="11"/>
  <c r="H3" i="11"/>
  <c r="Q4" i="11"/>
  <c r="Q5" i="11"/>
  <c r="Q6" i="11"/>
  <c r="Q7" i="11"/>
  <c r="Q8" i="11"/>
  <c r="Q3" i="11"/>
  <c r="O4" i="11"/>
  <c r="O5" i="11"/>
  <c r="O6" i="11"/>
  <c r="O7" i="11"/>
  <c r="O8" i="11"/>
  <c r="O3" i="11"/>
  <c r="N4" i="11"/>
  <c r="N5" i="11"/>
  <c r="N6" i="11"/>
  <c r="N7" i="11"/>
  <c r="N8" i="11"/>
  <c r="N3" i="11"/>
  <c r="M4" i="11"/>
  <c r="M5" i="11"/>
  <c r="M6" i="11"/>
  <c r="M7" i="11"/>
  <c r="M8" i="11"/>
  <c r="M3" i="11"/>
  <c r="J4" i="11"/>
  <c r="J5" i="11"/>
  <c r="J6" i="11"/>
  <c r="J7" i="11"/>
  <c r="J8" i="11"/>
  <c r="J3" i="11"/>
  <c r="I6" i="11"/>
  <c r="I7" i="11"/>
  <c r="I8" i="11"/>
  <c r="I4" i="11"/>
  <c r="I5" i="11"/>
  <c r="I3" i="11"/>
  <c r="B8" i="11"/>
  <c r="B7" i="11"/>
  <c r="B6" i="11"/>
  <c r="B5" i="11"/>
  <c r="B4" i="11"/>
  <c r="B3" i="11"/>
  <c r="Y4" i="5"/>
  <c r="Y5" i="5"/>
  <c r="Y6" i="5"/>
  <c r="Y7" i="5"/>
  <c r="Y8" i="5"/>
  <c r="Y9" i="5"/>
  <c r="Y10" i="5"/>
  <c r="Y11" i="5"/>
  <c r="Y3" i="5"/>
  <c r="W4" i="5"/>
  <c r="X4" i="5" s="1"/>
  <c r="W5" i="5"/>
  <c r="X5" i="5" s="1"/>
  <c r="W6" i="5"/>
  <c r="W7" i="5"/>
  <c r="X7" i="5" s="1"/>
  <c r="W8" i="5"/>
  <c r="W9" i="5"/>
  <c r="W10" i="5"/>
  <c r="W11" i="5"/>
  <c r="W3" i="5"/>
  <c r="M4" i="5"/>
  <c r="M5" i="5"/>
  <c r="M6" i="5"/>
  <c r="M7" i="5"/>
  <c r="M8" i="5"/>
  <c r="M9" i="5"/>
  <c r="M10" i="5"/>
  <c r="M11" i="5"/>
  <c r="M12" i="5"/>
  <c r="M3" i="5"/>
  <c r="X3" i="5" s="1"/>
  <c r="G4" i="7"/>
  <c r="G5" i="7"/>
  <c r="G6" i="7"/>
  <c r="G7" i="7"/>
  <c r="G8" i="7"/>
  <c r="G3" i="7"/>
  <c r="W4" i="2"/>
  <c r="W5" i="2"/>
  <c r="W6" i="2"/>
  <c r="W3" i="2"/>
  <c r="U4" i="2"/>
  <c r="U5" i="2"/>
  <c r="U6" i="2"/>
  <c r="Y6" i="2" s="1"/>
  <c r="U3" i="2"/>
  <c r="S4" i="2"/>
  <c r="X4" i="2" s="1"/>
  <c r="S5" i="2"/>
  <c r="X5" i="2" s="1"/>
  <c r="S6" i="2"/>
  <c r="X6" i="2" s="1"/>
  <c r="S3" i="2"/>
  <c r="T4" i="5"/>
  <c r="Z4" i="5" s="1"/>
  <c r="T5" i="5"/>
  <c r="Z5" i="5" s="1"/>
  <c r="T6" i="5"/>
  <c r="Z6" i="5" s="1"/>
  <c r="T7" i="5"/>
  <c r="Z7" i="5" s="1"/>
  <c r="T8" i="5"/>
  <c r="Z8" i="5" s="1"/>
  <c r="T9" i="5"/>
  <c r="Z9" i="5" s="1"/>
  <c r="T10" i="5"/>
  <c r="Z10" i="5" s="1"/>
  <c r="T11" i="5"/>
  <c r="Z11" i="5" s="1"/>
  <c r="T3" i="5"/>
  <c r="Z3" i="5" s="1"/>
  <c r="E4" i="5"/>
  <c r="E5" i="5"/>
  <c r="E6" i="5"/>
  <c r="E7" i="5"/>
  <c r="E8" i="5"/>
  <c r="E9" i="5"/>
  <c r="E10" i="5"/>
  <c r="E11" i="5"/>
  <c r="E12" i="5"/>
  <c r="E3" i="5"/>
  <c r="B15" i="14"/>
  <c r="J28" i="5"/>
  <c r="B14" i="14"/>
  <c r="B13" i="14"/>
  <c r="F11" i="14"/>
  <c r="F8" i="14"/>
  <c r="B12" i="14"/>
  <c r="G10" i="14"/>
  <c r="C8" i="14"/>
  <c r="C10" i="14" s="1"/>
  <c r="B11" i="14"/>
  <c r="H6" i="14"/>
  <c r="H8" i="14"/>
  <c r="J20" i="5"/>
  <c r="J19" i="5" s="1"/>
  <c r="J18" i="5" s="1"/>
  <c r="J17" i="5" s="1"/>
  <c r="F6" i="14"/>
  <c r="F4" i="14"/>
  <c r="E4" i="14"/>
  <c r="E6" i="14"/>
  <c r="E8" i="14" s="1"/>
  <c r="E9" i="14" s="1"/>
  <c r="C6" i="14"/>
  <c r="C4" i="14"/>
  <c r="B10" i="14"/>
  <c r="B9" i="14"/>
  <c r="B8" i="14"/>
  <c r="B7" i="14"/>
  <c r="B6" i="14"/>
  <c r="B5" i="14"/>
  <c r="O4" i="2"/>
  <c r="O5" i="2"/>
  <c r="O6" i="2"/>
  <c r="O7" i="2"/>
  <c r="O8" i="2"/>
  <c r="O9" i="2"/>
  <c r="O10" i="2"/>
  <c r="O3" i="2"/>
  <c r="G4" i="6"/>
  <c r="G5" i="6" s="1"/>
  <c r="G6" i="6" s="1"/>
  <c r="B12" i="2"/>
  <c r="B4" i="2"/>
  <c r="B5" i="2"/>
  <c r="B6" i="2"/>
  <c r="B7" i="2"/>
  <c r="B8" i="2"/>
  <c r="B9" i="2"/>
  <c r="B10" i="2"/>
  <c r="B11" i="2"/>
  <c r="B3" i="2"/>
  <c r="F3" i="6"/>
  <c r="F4" i="6"/>
  <c r="L4" i="2"/>
  <c r="Z4" i="2" s="1"/>
  <c r="L5" i="2"/>
  <c r="Z5" i="2" s="1"/>
  <c r="L6" i="2"/>
  <c r="L7" i="2"/>
  <c r="L3" i="2"/>
  <c r="I4" i="2"/>
  <c r="I5" i="2"/>
  <c r="I6" i="2"/>
  <c r="I7" i="2"/>
  <c r="I3" i="2"/>
  <c r="F4" i="2"/>
  <c r="F5" i="2"/>
  <c r="F6" i="2"/>
  <c r="F7" i="2"/>
  <c r="F3" i="2"/>
  <c r="B10" i="10"/>
  <c r="B9" i="10"/>
  <c r="B8" i="10"/>
  <c r="B7" i="10"/>
  <c r="B6" i="10"/>
  <c r="B5" i="10"/>
  <c r="S14" i="11" l="1"/>
  <c r="X11" i="5"/>
  <c r="X6" i="5"/>
  <c r="S15" i="11"/>
  <c r="Y5" i="2"/>
  <c r="Y4" i="2"/>
  <c r="Z3" i="2"/>
  <c r="Z6" i="2"/>
  <c r="Y3" i="2"/>
  <c r="X10" i="5"/>
  <c r="X9" i="5"/>
  <c r="X3" i="2"/>
  <c r="X8" i="5"/>
  <c r="C11" i="14"/>
  <c r="C12" i="14" s="1"/>
  <c r="S3" i="11"/>
  <c r="S4" i="11"/>
  <c r="E10" i="14"/>
  <c r="E11" i="14" l="1"/>
  <c r="E12" i="14" s="1"/>
  <c r="F8" i="6"/>
  <c r="S19" i="11" l="1"/>
  <c r="S8" i="11"/>
  <c r="F7" i="6"/>
  <c r="F6" i="6"/>
  <c r="F5" i="6"/>
  <c r="H10" i="14"/>
  <c r="H12" i="14" s="1"/>
  <c r="H13" i="14" s="1"/>
  <c r="F9" i="14"/>
  <c r="S18" i="11" l="1"/>
  <c r="S7" i="11"/>
  <c r="S16" i="11"/>
  <c r="S5" i="11"/>
  <c r="S17" i="11"/>
  <c r="S6" i="11"/>
</calcChain>
</file>

<file path=xl/sharedStrings.xml><?xml version="1.0" encoding="utf-8"?>
<sst xmlns="http://schemas.openxmlformats.org/spreadsheetml/2006/main" count="386" uniqueCount="130">
  <si>
    <t>prove time(ms)</t>
  </si>
  <si>
    <t>verify time(ms)</t>
  </si>
  <si>
    <t>proof size(B)</t>
  </si>
  <si>
    <t>proof size(KB)</t>
  </si>
  <si>
    <t>variable</t>
  </si>
  <si>
    <t>commit time(ms)</t>
    <phoneticPr fontId="2" type="noConversion"/>
  </si>
  <si>
    <t>GKR proof size</t>
    <phoneticPr fontId="2" type="noConversion"/>
  </si>
  <si>
    <t>total prover time (ms)</t>
    <phoneticPr fontId="2" type="noConversion"/>
  </si>
  <si>
    <t>verify time(ms)</t>
    <phoneticPr fontId="2" type="noConversion"/>
  </si>
  <si>
    <t>total verify time(ms)</t>
    <phoneticPr fontId="2" type="noConversion"/>
  </si>
  <si>
    <t>Orion</t>
    <phoneticPr fontId="2" type="noConversion"/>
  </si>
  <si>
    <t>poly_num</t>
    <phoneticPr fontId="2" type="noConversion"/>
  </si>
  <si>
    <t>can not</t>
    <phoneticPr fontId="2" type="noConversion"/>
  </si>
  <si>
    <t>can't run</t>
    <phoneticPr fontId="2" type="noConversion"/>
  </si>
  <si>
    <t>prover</t>
    <phoneticPr fontId="2" type="noConversion"/>
  </si>
  <si>
    <t>Virgo</t>
    <phoneticPr fontId="2" type="noConversion"/>
  </si>
  <si>
    <t>PolyFRIM (non-zk)</t>
    <phoneticPr fontId="2" type="noConversion"/>
  </si>
  <si>
    <t>namefri (poly_num *4, rate = 1/8)</t>
    <phoneticPr fontId="2" type="noConversion"/>
  </si>
  <si>
    <t>DeepFold</t>
    <phoneticPr fontId="2" type="noConversion"/>
  </si>
  <si>
    <t>Memory(KB)</t>
    <phoneticPr fontId="2" type="noConversion"/>
  </si>
  <si>
    <t>size</t>
    <phoneticPr fontId="2" type="noConversion"/>
  </si>
  <si>
    <t>proof size (KB)</t>
    <phoneticPr fontId="2" type="noConversion"/>
  </si>
  <si>
    <t>Memory (KB)</t>
    <phoneticPr fontId="2" type="noConversion"/>
  </si>
  <si>
    <t>prover time (ms)</t>
    <phoneticPr fontId="2" type="noConversion"/>
  </si>
  <si>
    <t>GKR prover time (ms)</t>
    <phoneticPr fontId="2" type="noConversion"/>
  </si>
  <si>
    <t>GKR verifier time(ms)</t>
    <phoneticPr fontId="2" type="noConversion"/>
  </si>
  <si>
    <t>total proof size (kB)</t>
    <phoneticPr fontId="2" type="noConversion"/>
  </si>
  <si>
    <t>Can't run</t>
    <phoneticPr fontId="2" type="noConversion"/>
  </si>
  <si>
    <t>para commit (ms)</t>
    <phoneticPr fontId="2" type="noConversion"/>
  </si>
  <si>
    <t>para commit(ms) rayon</t>
    <phoneticPr fontId="2" type="noConversion"/>
  </si>
  <si>
    <t xml:space="preserve"> fft parallel commit</t>
    <phoneticPr fontId="2" type="noConversion"/>
  </si>
  <si>
    <t>path</t>
    <phoneticPr fontId="2" type="noConversion"/>
  </si>
  <si>
    <t>field (KB)</t>
    <phoneticPr fontId="2" type="noConversion"/>
  </si>
  <si>
    <t>namefri (poly_num *4, rate = 1/2)</t>
    <phoneticPr fontId="2" type="noConversion"/>
  </si>
  <si>
    <t xml:space="preserve"> GKR memory (KB)</t>
    <phoneticPr fontId="2" type="noConversion"/>
  </si>
  <si>
    <t>total memory</t>
    <phoneticPr fontId="2" type="noConversion"/>
  </si>
  <si>
    <t>Hyrax (non-zk)</t>
    <phoneticPr fontId="2" type="noConversion"/>
  </si>
  <si>
    <t>zk-namefri (poly_num *4, rate = 1/8)</t>
    <phoneticPr fontId="2" type="noConversion"/>
  </si>
  <si>
    <t>zk com</t>
    <phoneticPr fontId="2" type="noConversion"/>
  </si>
  <si>
    <t>zk v</t>
    <phoneticPr fontId="2" type="noConversion"/>
  </si>
  <si>
    <t>zk ps</t>
    <phoneticPr fontId="2" type="noConversion"/>
  </si>
  <si>
    <t>zk total open</t>
    <phoneticPr fontId="2" type="noConversion"/>
  </si>
  <si>
    <t>zk open</t>
    <phoneticPr fontId="2" type="noConversion"/>
  </si>
  <si>
    <t>zk total v</t>
    <phoneticPr fontId="2" type="noConversion"/>
  </si>
  <si>
    <t>Can run</t>
    <phoneticPr fontId="2" type="noConversion"/>
  </si>
  <si>
    <t>prover sac</t>
    <phoneticPr fontId="2" type="noConversion"/>
  </si>
  <si>
    <t>zk totalpf</t>
    <phoneticPr fontId="2" type="noConversion"/>
  </si>
  <si>
    <t>verifier sac</t>
    <phoneticPr fontId="2" type="noConversion"/>
  </si>
  <si>
    <t>proof size sac</t>
    <phoneticPr fontId="2" type="noConversion"/>
  </si>
  <si>
    <t>Verifier time (ms)</t>
  </si>
  <si>
    <t>Prover time(ms)</t>
    <phoneticPr fontId="2" type="noConversion"/>
  </si>
  <si>
    <t>PIP-SNARK time</t>
    <phoneticPr fontId="2" type="noConversion"/>
  </si>
  <si>
    <t>DeepFold-SNARK time</t>
    <phoneticPr fontId="2" type="noConversion"/>
  </si>
  <si>
    <t>Orion-SNARK time</t>
    <phoneticPr fontId="2" type="noConversion"/>
  </si>
  <si>
    <t>HyperPlonk PIOP time</t>
    <phoneticPr fontId="2" type="noConversion"/>
  </si>
  <si>
    <t>Spartan PIOP time</t>
    <phoneticPr fontId="2" type="noConversion"/>
  </si>
  <si>
    <t>open time(ms)</t>
    <phoneticPr fontId="2" type="noConversion"/>
  </si>
  <si>
    <t>de namefri (poly_num *4, rate = 1/8)</t>
    <phoneticPr fontId="2" type="noConversion"/>
  </si>
  <si>
    <t>2 prover</t>
    <phoneticPr fontId="2" type="noConversion"/>
  </si>
  <si>
    <t>4 prover</t>
    <phoneticPr fontId="2" type="noConversion"/>
  </si>
  <si>
    <t>8 prover</t>
    <phoneticPr fontId="2" type="noConversion"/>
  </si>
  <si>
    <t>16 prover</t>
    <phoneticPr fontId="2" type="noConversion"/>
  </si>
  <si>
    <t>parties</t>
  </si>
  <si>
    <t>total_nv</t>
    <phoneticPr fontId="3" type="noConversion"/>
  </si>
  <si>
    <t>gate</t>
  </si>
  <si>
    <t>vanilla</t>
  </si>
  <si>
    <t>vanilla</t>
    <phoneticPr fontId="2" type="noConversion"/>
  </si>
  <si>
    <r>
      <t>WHIR-1/8-</t>
    </r>
    <r>
      <rPr>
        <sz val="11"/>
        <color rgb="FFFF0000"/>
        <rFont val="等线"/>
        <family val="3"/>
        <charset val="134"/>
      </rPr>
      <t>factor2</t>
    </r>
    <phoneticPr fontId="2" type="noConversion"/>
  </si>
  <si>
    <r>
      <t>STIR-1/8-</t>
    </r>
    <r>
      <rPr>
        <sz val="11"/>
        <color rgb="FFFF0000"/>
        <rFont val="等线"/>
        <family val="3"/>
        <charset val="134"/>
      </rPr>
      <t>factor2</t>
    </r>
    <phoneticPr fontId="2" type="noConversion"/>
  </si>
  <si>
    <r>
      <t>FRI(STIR)-1/8-</t>
    </r>
    <r>
      <rPr>
        <sz val="11"/>
        <color rgb="FFFF0000"/>
        <rFont val="等线"/>
        <family val="3"/>
        <charset val="134"/>
      </rPr>
      <t>factor2</t>
    </r>
    <phoneticPr fontId="2" type="noConversion"/>
  </si>
  <si>
    <t>prove time(ms)</t>
    <phoneticPr fontId="2" type="noConversion"/>
  </si>
  <si>
    <r>
      <t>STIR-1/8-</t>
    </r>
    <r>
      <rPr>
        <sz val="11"/>
        <color theme="8"/>
        <rFont val="等线"/>
        <family val="4"/>
        <charset val="134"/>
      </rPr>
      <t>factor8</t>
    </r>
    <phoneticPr fontId="2" type="noConversion"/>
  </si>
  <si>
    <r>
      <t>FRI(STIR)-1/8-</t>
    </r>
    <r>
      <rPr>
        <sz val="11"/>
        <color theme="8"/>
        <rFont val="等线"/>
        <family val="3"/>
        <charset val="134"/>
      </rPr>
      <t>factor8</t>
    </r>
    <phoneticPr fontId="2" type="noConversion"/>
  </si>
  <si>
    <r>
      <t>WHIR-1/8-</t>
    </r>
    <r>
      <rPr>
        <sz val="11"/>
        <color rgb="FF7030A0"/>
        <rFont val="等线"/>
        <family val="4"/>
        <charset val="134"/>
      </rPr>
      <t>factor4</t>
    </r>
    <phoneticPr fontId="2" type="noConversion"/>
  </si>
  <si>
    <r>
      <t>STIR-1/8-</t>
    </r>
    <r>
      <rPr>
        <sz val="11"/>
        <color rgb="FF00B050"/>
        <rFont val="等线"/>
        <family val="4"/>
        <charset val="134"/>
      </rPr>
      <t>factor16</t>
    </r>
    <phoneticPr fontId="2" type="noConversion"/>
  </si>
  <si>
    <r>
      <t>FRI(STIR)-1/8-</t>
    </r>
    <r>
      <rPr>
        <sz val="11"/>
        <color rgb="FF00B050"/>
        <rFont val="等线"/>
        <family val="4"/>
        <charset val="134"/>
      </rPr>
      <t>factor16</t>
    </r>
    <phoneticPr fontId="2" type="noConversion"/>
  </si>
  <si>
    <t>Dory</t>
    <phoneticPr fontId="2" type="noConversion"/>
  </si>
  <si>
    <t>SRS size(KB)</t>
    <phoneticPr fontId="2" type="noConversion"/>
  </si>
  <si>
    <t>Compressed SRS size(KB)</t>
    <phoneticPr fontId="2" type="noConversion"/>
  </si>
  <si>
    <t>supported_nv</t>
    <phoneticPr fontId="2" type="noConversion"/>
  </si>
  <si>
    <t>communication</t>
    <phoneticPr fontId="2" type="noConversion"/>
  </si>
  <si>
    <t>comm</t>
    <phoneticPr fontId="2" type="noConversion"/>
  </si>
  <si>
    <t>demkzg</t>
  </si>
  <si>
    <t>demkzg</t>
    <phoneticPr fontId="2" type="noConversion"/>
  </si>
  <si>
    <t>srs (KB)</t>
    <phoneticPr fontId="2" type="noConversion"/>
  </si>
  <si>
    <t>comm (Bytes)</t>
    <phoneticPr fontId="2" type="noConversion"/>
  </si>
  <si>
    <t>total comm (Bytes)</t>
    <phoneticPr fontId="2" type="noConversion"/>
  </si>
  <si>
    <t>amortized commu</t>
    <phoneticPr fontId="2" type="noConversion"/>
  </si>
  <si>
    <t>total comm</t>
    <phoneticPr fontId="2" type="noConversion"/>
  </si>
  <si>
    <t>amortized</t>
    <phoneticPr fontId="2" type="noConversion"/>
  </si>
  <si>
    <t>SRS</t>
    <phoneticPr fontId="2" type="noConversion"/>
  </si>
  <si>
    <t>amortized (KB)</t>
    <phoneticPr fontId="2" type="noConversion"/>
  </si>
  <si>
    <t>2 prover</t>
  </si>
  <si>
    <t>dedory</t>
  </si>
  <si>
    <t>8 prover</t>
  </si>
  <si>
    <t>srs</t>
  </si>
  <si>
    <t>commit time(ms)</t>
  </si>
  <si>
    <t>open time(ms)</t>
  </si>
  <si>
    <t>prover</t>
  </si>
  <si>
    <t>total commu (KB)</t>
  </si>
  <si>
    <t>4 prover</t>
  </si>
  <si>
    <t>16 prover</t>
  </si>
  <si>
    <t>Prove-pcs-time</t>
    <phoneticPr fontId="2" type="noConversion"/>
  </si>
  <si>
    <t>commit 4 polys + open 1 poly</t>
    <phoneticPr fontId="2" type="noConversion"/>
  </si>
  <si>
    <t>Prove-pcs-commu</t>
    <phoneticPr fontId="2" type="noConversion"/>
  </si>
  <si>
    <t>Prove-total-time</t>
    <phoneticPr fontId="2" type="noConversion"/>
  </si>
  <si>
    <t>Prove-total-commu</t>
    <phoneticPr fontId="2" type="noConversion"/>
  </si>
  <si>
    <t>Prove-piop-time</t>
    <phoneticPr fontId="2" type="noConversion"/>
  </si>
  <si>
    <t>Prove-piop-commu</t>
    <phoneticPr fontId="2" type="noConversion"/>
  </si>
  <si>
    <t>Verify-total-time</t>
    <phoneticPr fontId="2" type="noConversion"/>
  </si>
  <si>
    <t>Verify-pcs-time</t>
    <phoneticPr fontId="2" type="noConversion"/>
  </si>
  <si>
    <t>Verify-piop-time</t>
    <phoneticPr fontId="2" type="noConversion"/>
  </si>
  <si>
    <t>open 1 poly</t>
    <phoneticPr fontId="2" type="noConversion"/>
  </si>
  <si>
    <t>Prove-newpcs-time</t>
    <phoneticPr fontId="2" type="noConversion"/>
  </si>
  <si>
    <t>Prove-newpcs-commu</t>
    <phoneticPr fontId="2" type="noConversion"/>
  </si>
  <si>
    <t>total commu (KB)</t>
    <phoneticPr fontId="2" type="noConversion"/>
  </si>
  <si>
    <t>Total commu (KB)</t>
    <phoneticPr fontId="2" type="noConversion"/>
  </si>
  <si>
    <t>commt commu</t>
    <phoneticPr fontId="2" type="noConversion"/>
  </si>
  <si>
    <t>open commu</t>
    <phoneticPr fontId="2" type="noConversion"/>
  </si>
  <si>
    <t>Prove-new-total</t>
    <phoneticPr fontId="2" type="noConversion"/>
  </si>
  <si>
    <t>Prove-new-commu</t>
    <phoneticPr fontId="2" type="noConversion"/>
  </si>
  <si>
    <t>Verify</t>
    <phoneticPr fontId="2" type="noConversion"/>
  </si>
  <si>
    <t>commit com</t>
    <phoneticPr fontId="2" type="noConversion"/>
  </si>
  <si>
    <t>open com</t>
    <phoneticPr fontId="2" type="noConversion"/>
  </si>
  <si>
    <t>Total amorzed commu (KB)</t>
    <phoneticPr fontId="2" type="noConversion"/>
  </si>
  <si>
    <t>Prove-new-amortize-commu</t>
    <phoneticPr fontId="2" type="noConversion"/>
  </si>
  <si>
    <t>amortized communication</t>
    <phoneticPr fontId="2" type="noConversion"/>
  </si>
  <si>
    <t>proof size</t>
    <phoneticPr fontId="2" type="noConversion"/>
  </si>
  <si>
    <t>PIOP proof</t>
    <phoneticPr fontId="2" type="noConversion"/>
  </si>
  <si>
    <t>data from Hyperpianist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</si>
</sst>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</font>
    <font>
      <sz val="11"/>
      <color theme="8"/>
      <name val="等线"/>
      <family val="4"/>
      <charset val="134"/>
    </font>
    <font>
      <sz val="11"/>
      <color theme="8"/>
      <name val="等线"/>
      <family val="3"/>
      <charset val="134"/>
    </font>
    <font>
      <sz val="11"/>
      <color rgb="FF7030A0"/>
      <name val="等线"/>
      <family val="4"/>
      <charset val="134"/>
    </font>
    <font>
      <sz val="11"/>
      <color rgb="FF00B050"/>
      <name val="等线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1" applyBorder="1" applyAlignment="1"/>
    <xf numFmtId="0" fontId="1" fillId="2" borderId="2" xfId="1" applyBorder="1" applyAlignment="1"/>
    <xf numFmtId="0" fontId="0" fillId="0" borderId="0" xfId="0" applyAlignment="1">
      <alignment vertical="center"/>
    </xf>
    <xf numFmtId="0" fontId="0" fillId="0" borderId="3" xfId="0" applyBorder="1"/>
    <xf numFmtId="0" fontId="1" fillId="3" borderId="3" xfId="1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/>
  </cellXfs>
  <cellStyles count="2">
    <cellStyle name="60% - 着色 3" xfId="1" builtinId="4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CEF5-5374-498D-8450-9AF99F22902A}">
  <dimension ref="A1:H15"/>
  <sheetViews>
    <sheetView zoomScale="145" zoomScaleNormal="145" workbookViewId="0">
      <selection activeCell="E15" sqref="E15"/>
    </sheetView>
  </sheetViews>
  <sheetFormatPr baseColWidth="10" defaultColWidth="8.6640625" defaultRowHeight="15"/>
  <cols>
    <col min="2" max="2" width="19.33203125" customWidth="1"/>
    <col min="3" max="4" width="15.6640625" customWidth="1"/>
    <col min="5" max="5" width="15.1640625" customWidth="1"/>
    <col min="6" max="6" width="12.33203125" customWidth="1"/>
    <col min="7" max="7" width="15.6640625" customWidth="1"/>
    <col min="8" max="8" width="12.6640625" customWidth="1"/>
  </cols>
  <sheetData>
    <row r="1" spans="1:8">
      <c r="C1" s="7" t="s">
        <v>36</v>
      </c>
      <c r="D1" s="7"/>
      <c r="E1" s="7"/>
      <c r="F1" s="7"/>
    </row>
    <row r="2" spans="1:8">
      <c r="A2" t="s">
        <v>4</v>
      </c>
      <c r="B2" t="s">
        <v>20</v>
      </c>
      <c r="C2" t="s">
        <v>5</v>
      </c>
      <c r="D2" t="s">
        <v>28</v>
      </c>
      <c r="E2" t="s">
        <v>0</v>
      </c>
      <c r="F2" t="s">
        <v>1</v>
      </c>
      <c r="G2" t="s">
        <v>21</v>
      </c>
      <c r="H2" t="s">
        <v>22</v>
      </c>
    </row>
    <row r="3" spans="1:8">
      <c r="A3">
        <v>18</v>
      </c>
      <c r="C3">
        <v>3802.3</v>
      </c>
      <c r="E3">
        <v>33.606999999999999</v>
      </c>
      <c r="F3">
        <v>34.31</v>
      </c>
      <c r="G3">
        <v>16</v>
      </c>
    </row>
    <row r="4" spans="1:8">
      <c r="A4">
        <v>19</v>
      </c>
      <c r="C4">
        <f>(C3+C5)/2.5</f>
        <v>6616.5199999999995</v>
      </c>
      <c r="E4">
        <f>(E3+E5)/2</f>
        <v>56.253500000000003</v>
      </c>
      <c r="F4">
        <f>(F3+F5)/2</f>
        <v>49.285499999999999</v>
      </c>
      <c r="G4">
        <v>24</v>
      </c>
    </row>
    <row r="5" spans="1:8">
      <c r="A5">
        <v>20</v>
      </c>
      <c r="B5">
        <f t="shared" ref="B5:B15" si="0">POWER(2,A5)</f>
        <v>1048576</v>
      </c>
      <c r="C5">
        <v>12739</v>
      </c>
      <c r="E5">
        <v>78.900000000000006</v>
      </c>
      <c r="F5">
        <v>64.260999999999996</v>
      </c>
      <c r="G5">
        <v>32</v>
      </c>
      <c r="H5">
        <v>69500</v>
      </c>
    </row>
    <row r="6" spans="1:8">
      <c r="A6">
        <v>21</v>
      </c>
      <c r="B6">
        <f t="shared" si="0"/>
        <v>2097152</v>
      </c>
      <c r="C6">
        <f>(C5+C7)/2.5</f>
        <v>23688.400000000001</v>
      </c>
      <c r="E6">
        <f>(E5+E7)/2</f>
        <v>159.86500000000001</v>
      </c>
      <c r="F6">
        <f>(F5+F7)/2</f>
        <v>92.005499999999998</v>
      </c>
      <c r="G6">
        <v>48</v>
      </c>
      <c r="H6">
        <f>(H5+H7)/2.5</f>
        <v>131800</v>
      </c>
    </row>
    <row r="7" spans="1:8">
      <c r="A7">
        <v>22</v>
      </c>
      <c r="B7">
        <f t="shared" si="0"/>
        <v>4194304</v>
      </c>
      <c r="C7">
        <v>46482</v>
      </c>
      <c r="E7">
        <v>240.83</v>
      </c>
      <c r="F7">
        <v>119.75</v>
      </c>
      <c r="G7">
        <v>64</v>
      </c>
      <c r="H7">
        <v>260000</v>
      </c>
    </row>
    <row r="8" spans="1:8">
      <c r="A8">
        <v>23</v>
      </c>
      <c r="B8">
        <f t="shared" si="0"/>
        <v>8388608</v>
      </c>
      <c r="C8">
        <f>(C7+C9)/2.5</f>
        <v>100284.8</v>
      </c>
      <c r="E8">
        <f>(E6+E7)*4/3</f>
        <v>534.2600000000001</v>
      </c>
      <c r="F8">
        <f>F7*1.5</f>
        <v>179.625</v>
      </c>
      <c r="G8">
        <v>96</v>
      </c>
      <c r="H8">
        <f>(H7+H9)/2.5</f>
        <v>515600</v>
      </c>
    </row>
    <row r="9" spans="1:8">
      <c r="A9">
        <v>24</v>
      </c>
      <c r="B9">
        <f t="shared" si="0"/>
        <v>16777216</v>
      </c>
      <c r="C9">
        <v>204230</v>
      </c>
      <c r="E9">
        <f t="shared" ref="E9:E12" si="1">(E7+E8)*4/3</f>
        <v>1033.4533333333336</v>
      </c>
      <c r="F9">
        <f>(F7+F8)/2.5*2</f>
        <v>239.5</v>
      </c>
      <c r="G9">
        <v>128</v>
      </c>
      <c r="H9">
        <v>1029000</v>
      </c>
    </row>
    <row r="10" spans="1:8">
      <c r="A10">
        <v>25</v>
      </c>
      <c r="B10">
        <f t="shared" si="0"/>
        <v>33554432</v>
      </c>
      <c r="C10">
        <f>(C8+C9)*4/3</f>
        <v>406019.73333333334</v>
      </c>
      <c r="E10">
        <f t="shared" si="1"/>
        <v>2090.2844444444449</v>
      </c>
      <c r="F10">
        <v>378</v>
      </c>
      <c r="G10">
        <f>(G9+G11)/2</f>
        <v>192</v>
      </c>
      <c r="H10">
        <f>(H9+H11)/2.5</f>
        <v>2052800</v>
      </c>
    </row>
    <row r="11" spans="1:8">
      <c r="A11">
        <v>26</v>
      </c>
      <c r="B11">
        <f t="shared" si="0"/>
        <v>67108864</v>
      </c>
      <c r="C11">
        <f>(C9+C10)*4/3</f>
        <v>813666.31111111119</v>
      </c>
      <c r="E11">
        <f t="shared" si="1"/>
        <v>4164.9837037037041</v>
      </c>
      <c r="F11">
        <f>F10*1.5</f>
        <v>567</v>
      </c>
      <c r="G11">
        <v>256</v>
      </c>
      <c r="H11">
        <v>4103000</v>
      </c>
    </row>
    <row r="12" spans="1:8">
      <c r="A12">
        <v>27</v>
      </c>
      <c r="B12">
        <f t="shared" si="0"/>
        <v>134217728</v>
      </c>
      <c r="C12">
        <f>(C10+C11)*4/3</f>
        <v>1626248.0592592594</v>
      </c>
      <c r="E12">
        <f t="shared" si="1"/>
        <v>8340.3575308641975</v>
      </c>
      <c r="F12">
        <v>756</v>
      </c>
      <c r="G12">
        <v>384</v>
      </c>
      <c r="H12">
        <f>(H10+H11)*4/3</f>
        <v>8207733.333333333</v>
      </c>
    </row>
    <row r="13" spans="1:8">
      <c r="A13">
        <v>28</v>
      </c>
      <c r="B13">
        <f t="shared" si="0"/>
        <v>268435456</v>
      </c>
      <c r="H13">
        <f>H12*2</f>
        <v>16415466.666666666</v>
      </c>
    </row>
    <row r="14" spans="1:8">
      <c r="A14">
        <v>29</v>
      </c>
      <c r="B14">
        <f t="shared" si="0"/>
        <v>536870912</v>
      </c>
    </row>
    <row r="15" spans="1:8">
      <c r="A15">
        <v>30</v>
      </c>
      <c r="B15">
        <f t="shared" si="0"/>
        <v>1073741824</v>
      </c>
    </row>
  </sheetData>
  <mergeCells count="1">
    <mergeCell ref="C1:F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A328-BDE9-423F-A7B4-8C3F91CBE4DC}">
  <dimension ref="A1:Z12"/>
  <sheetViews>
    <sheetView zoomScale="130" zoomScaleNormal="130" workbookViewId="0">
      <selection activeCell="S18" sqref="S18"/>
    </sheetView>
  </sheetViews>
  <sheetFormatPr baseColWidth="10" defaultColWidth="8.6640625" defaultRowHeight="15"/>
  <cols>
    <col min="1" max="2" width="14.1640625" customWidth="1"/>
    <col min="3" max="3" width="21" customWidth="1"/>
    <col min="4" max="5" width="16.6640625" customWidth="1"/>
    <col min="6" max="6" width="16" customWidth="1"/>
    <col min="7" max="8" width="14.5" customWidth="1"/>
    <col min="9" max="9" width="10.5" customWidth="1"/>
    <col min="10" max="11" width="14.5" customWidth="1"/>
    <col min="12" max="12" width="18.33203125" customWidth="1"/>
    <col min="13" max="13" width="16.6640625" customWidth="1"/>
    <col min="14" max="14" width="14.5" customWidth="1"/>
    <col min="18" max="18" width="10.33203125" customWidth="1"/>
    <col min="19" max="19" width="11.6640625" customWidth="1"/>
    <col min="20" max="21" width="8.6640625" customWidth="1"/>
  </cols>
  <sheetData>
    <row r="1" spans="1:26">
      <c r="C1" s="8" t="s">
        <v>15</v>
      </c>
      <c r="D1" s="7"/>
      <c r="E1" s="7"/>
      <c r="F1" s="7"/>
      <c r="G1" s="7"/>
      <c r="H1" s="1"/>
      <c r="I1" s="1"/>
      <c r="J1" s="1"/>
      <c r="K1" s="1"/>
      <c r="L1" s="1"/>
      <c r="N1" s="1"/>
    </row>
    <row r="2" spans="1:26">
      <c r="A2" t="s">
        <v>4</v>
      </c>
      <c r="B2" t="s">
        <v>20</v>
      </c>
      <c r="C2" t="s">
        <v>5</v>
      </c>
      <c r="D2" t="s">
        <v>23</v>
      </c>
      <c r="E2" t="s">
        <v>24</v>
      </c>
      <c r="F2" t="s">
        <v>7</v>
      </c>
      <c r="G2" t="s">
        <v>8</v>
      </c>
      <c r="H2" t="s">
        <v>25</v>
      </c>
      <c r="I2" t="s">
        <v>9</v>
      </c>
      <c r="J2" s="1" t="s">
        <v>21</v>
      </c>
      <c r="K2" s="1" t="s">
        <v>6</v>
      </c>
      <c r="L2" s="1" t="s">
        <v>26</v>
      </c>
      <c r="M2" s="1" t="s">
        <v>22</v>
      </c>
      <c r="N2" s="1" t="s">
        <v>34</v>
      </c>
      <c r="O2" s="1" t="s">
        <v>35</v>
      </c>
      <c r="Q2" s="1" t="s">
        <v>38</v>
      </c>
      <c r="R2" s="1" t="s">
        <v>42</v>
      </c>
      <c r="S2" s="1" t="s">
        <v>41</v>
      </c>
      <c r="T2" s="1" t="s">
        <v>39</v>
      </c>
      <c r="U2" s="1" t="s">
        <v>43</v>
      </c>
      <c r="V2" s="1" t="s">
        <v>40</v>
      </c>
      <c r="W2" s="1" t="s">
        <v>46</v>
      </c>
      <c r="X2" s="1" t="s">
        <v>45</v>
      </c>
      <c r="Y2" s="1" t="s">
        <v>47</v>
      </c>
      <c r="Z2" s="1" t="s">
        <v>48</v>
      </c>
    </row>
    <row r="3" spans="1:26">
      <c r="A3">
        <v>18</v>
      </c>
      <c r="B3">
        <f xml:space="preserve"> POWER(2, A3)</f>
        <v>262144</v>
      </c>
      <c r="C3">
        <v>544</v>
      </c>
      <c r="D3">
        <v>4207</v>
      </c>
      <c r="E3">
        <v>2590</v>
      </c>
      <c r="F3">
        <f>D3+E3</f>
        <v>6797</v>
      </c>
      <c r="G3">
        <v>1.2319</v>
      </c>
      <c r="H3">
        <v>0.23100000000000001</v>
      </c>
      <c r="I3">
        <f>G3+H3</f>
        <v>1.4629000000000001</v>
      </c>
      <c r="J3" s="1">
        <v>135</v>
      </c>
      <c r="K3" s="1">
        <v>41.328000000000003</v>
      </c>
      <c r="L3" s="1">
        <f>J3+K3</f>
        <v>176.328</v>
      </c>
      <c r="M3" s="1">
        <v>971036</v>
      </c>
      <c r="N3" s="1">
        <v>1929216</v>
      </c>
      <c r="O3">
        <f>M3+N3</f>
        <v>2900252</v>
      </c>
      <c r="Q3">
        <v>3655</v>
      </c>
      <c r="R3">
        <v>16923</v>
      </c>
      <c r="S3">
        <f>R3+E3</f>
        <v>19513</v>
      </c>
      <c r="T3">
        <v>1.5336000000000001</v>
      </c>
      <c r="U3">
        <f>T3+H3</f>
        <v>1.7646000000000002</v>
      </c>
      <c r="V3">
        <v>171</v>
      </c>
      <c r="W3">
        <f>K3+V3</f>
        <v>212.328</v>
      </c>
      <c r="X3">
        <f>((Q3+S3))/(C3+F3)</f>
        <v>3.1559733006402397</v>
      </c>
      <c r="Y3">
        <f>(U3-I3)/I3</f>
        <v>0.20623419235764581</v>
      </c>
      <c r="Z3">
        <f>(W3-L3)/L3</f>
        <v>0.20416496529195591</v>
      </c>
    </row>
    <row r="4" spans="1:26">
      <c r="A4">
        <v>19</v>
      </c>
      <c r="B4">
        <f t="shared" ref="B4:B12" si="0" xml:space="preserve"> POWER(2, A4)</f>
        <v>524288</v>
      </c>
      <c r="C4">
        <v>1363.5</v>
      </c>
      <c r="D4">
        <v>9061</v>
      </c>
      <c r="E4">
        <v>5316.2</v>
      </c>
      <c r="F4">
        <f t="shared" ref="F4:F7" si="1">D4+E4</f>
        <v>14377.2</v>
      </c>
      <c r="G4">
        <v>1.3698999999999999</v>
      </c>
      <c r="H4">
        <v>0.2545</v>
      </c>
      <c r="I4">
        <f t="shared" ref="I4:I7" si="2">G4+H4</f>
        <v>1.6243999999999998</v>
      </c>
      <c r="J4" s="1">
        <v>154</v>
      </c>
      <c r="K4" s="1">
        <v>45.887999999999998</v>
      </c>
      <c r="L4" s="1">
        <f t="shared" ref="L4:L7" si="3">J4+K4</f>
        <v>199.88800000000001</v>
      </c>
      <c r="M4" s="1">
        <v>1788948</v>
      </c>
      <c r="N4" s="1">
        <v>3862464</v>
      </c>
      <c r="O4">
        <f t="shared" ref="O4:O10" si="4">M4+N4</f>
        <v>5651412</v>
      </c>
      <c r="Q4">
        <v>8082</v>
      </c>
      <c r="R4">
        <v>36656</v>
      </c>
      <c r="S4">
        <f t="shared" ref="S4:S7" si="5">R4+E4</f>
        <v>41972.2</v>
      </c>
      <c r="T4">
        <v>1.65</v>
      </c>
      <c r="U4">
        <f t="shared" ref="U4:U6" si="6">T4+H4</f>
        <v>1.9044999999999999</v>
      </c>
      <c r="V4">
        <v>191</v>
      </c>
      <c r="W4">
        <f t="shared" ref="W4:W6" si="7">K4+V4</f>
        <v>236.88800000000001</v>
      </c>
      <c r="X4">
        <f t="shared" ref="X4:X6" si="8">((Q4+S4))/(C4+F4)</f>
        <v>3.1799221127395856</v>
      </c>
      <c r="Y4">
        <f t="shared" ref="Y4:Y6" si="9">(U4-I4)/I4</f>
        <v>0.17243289830091113</v>
      </c>
      <c r="Z4">
        <f t="shared" ref="Z4:Z7" si="10">(W4-L4)/L4</f>
        <v>0.18510365804850715</v>
      </c>
    </row>
    <row r="5" spans="1:26">
      <c r="A5">
        <v>20</v>
      </c>
      <c r="B5">
        <f t="shared" si="0"/>
        <v>1048576</v>
      </c>
      <c r="C5">
        <v>2945.5</v>
      </c>
      <c r="D5">
        <v>18635</v>
      </c>
      <c r="E5">
        <v>10805</v>
      </c>
      <c r="F5">
        <f t="shared" si="1"/>
        <v>29440</v>
      </c>
      <c r="G5">
        <v>1.4719</v>
      </c>
      <c r="H5">
        <v>0.26779999999999998</v>
      </c>
      <c r="I5">
        <f t="shared" si="2"/>
        <v>1.7397</v>
      </c>
      <c r="J5">
        <v>169</v>
      </c>
      <c r="K5">
        <v>50.688000000000002</v>
      </c>
      <c r="L5">
        <f t="shared" si="3"/>
        <v>219.68799999999999</v>
      </c>
      <c r="N5" s="1">
        <v>7738176</v>
      </c>
      <c r="O5">
        <f t="shared" si="4"/>
        <v>7738176</v>
      </c>
      <c r="Q5" s="2">
        <v>16106</v>
      </c>
      <c r="R5">
        <v>75442</v>
      </c>
      <c r="S5">
        <f t="shared" si="5"/>
        <v>86247</v>
      </c>
      <c r="T5">
        <v>1.8174999999999999</v>
      </c>
      <c r="U5">
        <f t="shared" si="6"/>
        <v>2.0852999999999997</v>
      </c>
      <c r="V5">
        <v>214</v>
      </c>
      <c r="W5">
        <f t="shared" si="7"/>
        <v>264.68799999999999</v>
      </c>
      <c r="X5">
        <f t="shared" si="8"/>
        <v>3.1604576122029919</v>
      </c>
      <c r="Y5">
        <f t="shared" si="9"/>
        <v>0.19865494050698379</v>
      </c>
      <c r="Z5">
        <f t="shared" si="10"/>
        <v>0.20483594916426934</v>
      </c>
    </row>
    <row r="6" spans="1:26">
      <c r="A6">
        <v>21</v>
      </c>
      <c r="B6">
        <f t="shared" si="0"/>
        <v>2097152</v>
      </c>
      <c r="C6">
        <v>6167.3</v>
      </c>
      <c r="D6">
        <v>38658</v>
      </c>
      <c r="E6">
        <v>22387</v>
      </c>
      <c r="F6">
        <f t="shared" si="1"/>
        <v>61045</v>
      </c>
      <c r="G6">
        <v>1.6425000000000001</v>
      </c>
      <c r="H6">
        <v>0.29099999999999998</v>
      </c>
      <c r="I6">
        <f t="shared" si="2"/>
        <v>1.9335</v>
      </c>
      <c r="J6">
        <v>192</v>
      </c>
      <c r="K6">
        <v>55.728000000000002</v>
      </c>
      <c r="L6">
        <f t="shared" si="3"/>
        <v>247.72800000000001</v>
      </c>
      <c r="N6" s="1">
        <v>15504192</v>
      </c>
      <c r="O6">
        <f t="shared" si="4"/>
        <v>15504192</v>
      </c>
      <c r="Q6" s="3">
        <v>31523</v>
      </c>
      <c r="R6">
        <v>153320</v>
      </c>
      <c r="S6">
        <f t="shared" si="5"/>
        <v>175707</v>
      </c>
      <c r="T6">
        <v>1.9835</v>
      </c>
      <c r="U6">
        <f t="shared" si="6"/>
        <v>2.2745000000000002</v>
      </c>
      <c r="V6">
        <v>234</v>
      </c>
      <c r="W6">
        <f t="shared" si="7"/>
        <v>289.72800000000001</v>
      </c>
      <c r="X6">
        <f t="shared" si="8"/>
        <v>3.0832154233674491</v>
      </c>
      <c r="Y6">
        <f t="shared" si="9"/>
        <v>0.17636410654253953</v>
      </c>
      <c r="Z6">
        <f t="shared" si="10"/>
        <v>0.16954078666925013</v>
      </c>
    </row>
    <row r="7" spans="1:26">
      <c r="A7">
        <v>22</v>
      </c>
      <c r="B7">
        <f t="shared" si="0"/>
        <v>4194304</v>
      </c>
      <c r="C7">
        <v>12436</v>
      </c>
      <c r="D7">
        <v>77752</v>
      </c>
      <c r="E7">
        <v>45581</v>
      </c>
      <c r="F7">
        <f t="shared" si="1"/>
        <v>123333</v>
      </c>
      <c r="G7">
        <v>1.8047</v>
      </c>
      <c r="H7">
        <v>0.30499999999999999</v>
      </c>
      <c r="I7">
        <f t="shared" si="2"/>
        <v>2.1097000000000001</v>
      </c>
      <c r="J7">
        <v>213</v>
      </c>
      <c r="K7">
        <v>61.008000000000003</v>
      </c>
      <c r="L7">
        <f t="shared" si="3"/>
        <v>274.00799999999998</v>
      </c>
      <c r="N7" s="1">
        <v>31070592</v>
      </c>
      <c r="O7">
        <f t="shared" si="4"/>
        <v>31070592</v>
      </c>
      <c r="Q7" s="3">
        <v>63320</v>
      </c>
      <c r="R7" t="s">
        <v>44</v>
      </c>
    </row>
    <row r="8" spans="1:26">
      <c r="A8">
        <v>23</v>
      </c>
      <c r="B8">
        <f t="shared" si="0"/>
        <v>8388608</v>
      </c>
      <c r="C8">
        <v>24663</v>
      </c>
      <c r="E8" t="s">
        <v>27</v>
      </c>
      <c r="N8" s="1"/>
      <c r="O8">
        <f t="shared" si="4"/>
        <v>0</v>
      </c>
    </row>
    <row r="9" spans="1:26">
      <c r="A9">
        <v>24</v>
      </c>
      <c r="B9">
        <f t="shared" si="0"/>
        <v>16777216</v>
      </c>
      <c r="C9">
        <v>50293</v>
      </c>
      <c r="O9">
        <f t="shared" si="4"/>
        <v>0</v>
      </c>
    </row>
    <row r="10" spans="1:26">
      <c r="A10">
        <v>25</v>
      </c>
      <c r="B10">
        <f t="shared" si="0"/>
        <v>33554432</v>
      </c>
      <c r="C10" t="s">
        <v>27</v>
      </c>
      <c r="O10">
        <f t="shared" si="4"/>
        <v>0</v>
      </c>
    </row>
    <row r="11" spans="1:26">
      <c r="A11">
        <v>26</v>
      </c>
      <c r="B11">
        <f t="shared" si="0"/>
        <v>67108864</v>
      </c>
    </row>
    <row r="12" spans="1:26">
      <c r="A12">
        <v>27</v>
      </c>
      <c r="B12">
        <f t="shared" si="0"/>
        <v>134217728</v>
      </c>
    </row>
  </sheetData>
  <mergeCells count="1">
    <mergeCell ref="C1:G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E796-85E6-4B8A-A73A-869F2FD3CB8E}">
  <dimension ref="A1:Z28"/>
  <sheetViews>
    <sheetView zoomScaleNormal="100" workbookViewId="0">
      <selection activeCell="E48" sqref="E48"/>
    </sheetView>
  </sheetViews>
  <sheetFormatPr baseColWidth="10" defaultColWidth="8.6640625" defaultRowHeight="15"/>
  <cols>
    <col min="3" max="6" width="15.6640625" customWidth="1"/>
    <col min="7" max="7" width="15.1640625" customWidth="1"/>
    <col min="8" max="8" width="12.33203125" customWidth="1"/>
    <col min="9" max="12" width="11" customWidth="1"/>
    <col min="17" max="17" width="12.6640625" customWidth="1"/>
    <col min="18" max="18" width="13.33203125" customWidth="1"/>
    <col min="19" max="19" width="13" customWidth="1"/>
    <col min="20" max="20" width="13.33203125" customWidth="1"/>
  </cols>
  <sheetData>
    <row r="1" spans="1:26">
      <c r="C1" s="9" t="s">
        <v>17</v>
      </c>
      <c r="D1" s="9"/>
      <c r="E1" s="9"/>
      <c r="F1" s="9"/>
      <c r="G1" s="9"/>
      <c r="H1" s="9"/>
      <c r="Q1" s="9" t="s">
        <v>37</v>
      </c>
      <c r="R1" s="9"/>
      <c r="S1" s="9"/>
    </row>
    <row r="2" spans="1:26">
      <c r="A2" t="s">
        <v>4</v>
      </c>
      <c r="B2" t="s">
        <v>11</v>
      </c>
      <c r="C2" t="s">
        <v>5</v>
      </c>
      <c r="D2" t="s">
        <v>29</v>
      </c>
      <c r="F2" t="s">
        <v>30</v>
      </c>
      <c r="G2" t="s">
        <v>0</v>
      </c>
      <c r="H2" t="s">
        <v>1</v>
      </c>
      <c r="I2" t="s">
        <v>3</v>
      </c>
      <c r="J2" t="s">
        <v>22</v>
      </c>
      <c r="K2" t="s">
        <v>31</v>
      </c>
      <c r="L2" t="s">
        <v>32</v>
      </c>
      <c r="M2" t="s">
        <v>14</v>
      </c>
      <c r="O2" t="s">
        <v>4</v>
      </c>
      <c r="P2" t="s">
        <v>11</v>
      </c>
      <c r="Q2" t="s">
        <v>5</v>
      </c>
      <c r="R2" t="s">
        <v>0</v>
      </c>
      <c r="S2" t="s">
        <v>1</v>
      </c>
      <c r="T2" t="s">
        <v>3</v>
      </c>
      <c r="U2" t="s">
        <v>31</v>
      </c>
      <c r="V2" t="s">
        <v>32</v>
      </c>
      <c r="W2" t="s">
        <v>14</v>
      </c>
    </row>
    <row r="3" spans="1:26">
      <c r="A3">
        <v>18</v>
      </c>
      <c r="B3">
        <v>64</v>
      </c>
      <c r="C3">
        <v>123.28</v>
      </c>
      <c r="D3">
        <v>99.212000000000003</v>
      </c>
      <c r="E3">
        <f>(C3-D3)/C3</f>
        <v>0.19523036988968201</v>
      </c>
      <c r="F3">
        <v>114.3</v>
      </c>
      <c r="G3">
        <v>55.343000000000004</v>
      </c>
      <c r="H3">
        <v>1.1373</v>
      </c>
      <c r="I3">
        <v>114</v>
      </c>
      <c r="J3">
        <v>61000</v>
      </c>
      <c r="K3">
        <v>71</v>
      </c>
      <c r="L3">
        <v>42</v>
      </c>
      <c r="M3">
        <f>C3+G3</f>
        <v>178.62299999999999</v>
      </c>
      <c r="O3">
        <v>18</v>
      </c>
      <c r="P3">
        <v>64</v>
      </c>
      <c r="Q3">
        <v>277</v>
      </c>
      <c r="R3">
        <v>108.75</v>
      </c>
      <c r="S3">
        <v>1.3083</v>
      </c>
      <c r="T3">
        <f>U3+V3</f>
        <v>132</v>
      </c>
      <c r="U3">
        <v>88</v>
      </c>
      <c r="V3">
        <v>44</v>
      </c>
      <c r="W3">
        <f>Q3+R3</f>
        <v>385.75</v>
      </c>
      <c r="X3">
        <f>(W3-M3)/M3</f>
        <v>1.1595763143604128</v>
      </c>
      <c r="Y3">
        <f>(S3-H3)/H3</f>
        <v>0.15035610656818785</v>
      </c>
      <c r="Z3">
        <f>(T3-I3)/I3</f>
        <v>0.15789473684210525</v>
      </c>
    </row>
    <row r="4" spans="1:26">
      <c r="A4">
        <v>19</v>
      </c>
      <c r="B4">
        <v>64</v>
      </c>
      <c r="C4">
        <v>247.26</v>
      </c>
      <c r="D4">
        <v>203.04</v>
      </c>
      <c r="E4">
        <f t="shared" ref="E4:E12" si="0">(C4-D4)/C4</f>
        <v>0.1788400873574375</v>
      </c>
      <c r="F4">
        <v>220.11</v>
      </c>
      <c r="G4">
        <v>113.73</v>
      </c>
      <c r="H4">
        <v>1.2823</v>
      </c>
      <c r="I4">
        <v>131</v>
      </c>
      <c r="J4">
        <v>124000</v>
      </c>
      <c r="K4">
        <v>87</v>
      </c>
      <c r="L4">
        <v>43</v>
      </c>
      <c r="M4">
        <f t="shared" ref="M4:M12" si="1">C4+G4</f>
        <v>360.99</v>
      </c>
      <c r="O4">
        <v>19</v>
      </c>
      <c r="P4">
        <v>64</v>
      </c>
      <c r="Q4">
        <v>629</v>
      </c>
      <c r="R4">
        <v>219.53</v>
      </c>
      <c r="S4">
        <v>1.4386000000000001</v>
      </c>
      <c r="T4">
        <f t="shared" ref="T4:T11" si="2">U4+V4</f>
        <v>153</v>
      </c>
      <c r="U4">
        <v>108</v>
      </c>
      <c r="V4">
        <v>45</v>
      </c>
      <c r="W4">
        <f t="shared" ref="W4:W11" si="3">Q4+R4</f>
        <v>848.53</v>
      </c>
      <c r="X4">
        <f t="shared" ref="X4:X11" si="4">(W4-M4)/M4</f>
        <v>1.3505637275270781</v>
      </c>
      <c r="Y4">
        <f t="shared" ref="Y4:Y11" si="5">(S4-H4)/H4</f>
        <v>0.12189035327146541</v>
      </c>
      <c r="Z4">
        <f t="shared" ref="Z4:Z11" si="6">(T4-I4)/I4</f>
        <v>0.16793893129770993</v>
      </c>
    </row>
    <row r="5" spans="1:26">
      <c r="A5">
        <v>20</v>
      </c>
      <c r="B5">
        <v>64</v>
      </c>
      <c r="C5">
        <v>549</v>
      </c>
      <c r="D5">
        <v>404.24</v>
      </c>
      <c r="E5">
        <f t="shared" si="0"/>
        <v>0.26367941712204007</v>
      </c>
      <c r="F5">
        <v>419.58</v>
      </c>
      <c r="G5">
        <v>231</v>
      </c>
      <c r="H5">
        <v>1.5624</v>
      </c>
      <c r="I5">
        <v>156</v>
      </c>
      <c r="J5">
        <v>216000</v>
      </c>
      <c r="K5">
        <v>107</v>
      </c>
      <c r="L5">
        <v>45</v>
      </c>
      <c r="M5">
        <f t="shared" si="1"/>
        <v>780</v>
      </c>
      <c r="O5">
        <v>20</v>
      </c>
      <c r="P5">
        <v>64</v>
      </c>
      <c r="Q5">
        <v>1326</v>
      </c>
      <c r="R5">
        <v>444</v>
      </c>
      <c r="S5">
        <v>1.6861999999999999</v>
      </c>
      <c r="T5">
        <f t="shared" si="2"/>
        <v>175</v>
      </c>
      <c r="U5">
        <v>129</v>
      </c>
      <c r="V5">
        <v>46</v>
      </c>
      <c r="W5">
        <f t="shared" si="3"/>
        <v>1770</v>
      </c>
      <c r="X5">
        <f t="shared" si="4"/>
        <v>1.2692307692307692</v>
      </c>
      <c r="Y5">
        <f t="shared" si="5"/>
        <v>7.923707117255499E-2</v>
      </c>
      <c r="Z5">
        <f t="shared" si="6"/>
        <v>0.12179487179487179</v>
      </c>
    </row>
    <row r="6" spans="1:26">
      <c r="A6">
        <v>21</v>
      </c>
      <c r="B6">
        <v>64</v>
      </c>
      <c r="C6">
        <v>1130.5</v>
      </c>
      <c r="D6">
        <v>756.98</v>
      </c>
      <c r="E6">
        <f t="shared" si="0"/>
        <v>0.33040247678018575</v>
      </c>
      <c r="F6">
        <v>890.21</v>
      </c>
      <c r="G6">
        <v>462.83</v>
      </c>
      <c r="H6">
        <v>1.6956</v>
      </c>
      <c r="I6">
        <v>176</v>
      </c>
      <c r="J6">
        <v>391000</v>
      </c>
      <c r="K6">
        <v>133</v>
      </c>
      <c r="L6">
        <v>46</v>
      </c>
      <c r="M6">
        <f t="shared" si="1"/>
        <v>1593.33</v>
      </c>
      <c r="O6">
        <v>21</v>
      </c>
      <c r="P6">
        <v>64</v>
      </c>
      <c r="Q6">
        <v>2774</v>
      </c>
      <c r="R6">
        <v>890</v>
      </c>
      <c r="S6">
        <v>1.8459000000000001</v>
      </c>
      <c r="T6">
        <f t="shared" si="2"/>
        <v>200</v>
      </c>
      <c r="U6">
        <v>154</v>
      </c>
      <c r="V6">
        <v>46</v>
      </c>
      <c r="W6">
        <f t="shared" si="3"/>
        <v>3664</v>
      </c>
      <c r="X6">
        <f t="shared" si="4"/>
        <v>1.29958640080837</v>
      </c>
      <c r="Y6">
        <f t="shared" si="5"/>
        <v>8.8641188959660361E-2</v>
      </c>
      <c r="Z6">
        <f t="shared" si="6"/>
        <v>0.13636363636363635</v>
      </c>
    </row>
    <row r="7" spans="1:26">
      <c r="A7">
        <v>22</v>
      </c>
      <c r="B7">
        <v>64</v>
      </c>
      <c r="C7">
        <v>2344</v>
      </c>
      <c r="D7">
        <v>1750.1</v>
      </c>
      <c r="E7">
        <f t="shared" si="0"/>
        <v>0.25337030716723552</v>
      </c>
      <c r="F7">
        <v>1962.1</v>
      </c>
      <c r="G7">
        <v>936.59</v>
      </c>
      <c r="H7">
        <v>1.8722000000000001</v>
      </c>
      <c r="I7">
        <v>196</v>
      </c>
      <c r="J7">
        <v>775496</v>
      </c>
      <c r="K7">
        <v>152</v>
      </c>
      <c r="L7">
        <v>47</v>
      </c>
      <c r="M7">
        <f t="shared" si="1"/>
        <v>3280.59</v>
      </c>
      <c r="O7">
        <v>22</v>
      </c>
      <c r="P7">
        <v>64</v>
      </c>
      <c r="Q7">
        <v>5962</v>
      </c>
      <c r="R7">
        <v>1858</v>
      </c>
      <c r="S7">
        <v>2.0733000000000001</v>
      </c>
      <c r="T7">
        <f t="shared" si="2"/>
        <v>229</v>
      </c>
      <c r="U7">
        <v>181</v>
      </c>
      <c r="V7">
        <v>48</v>
      </c>
      <c r="W7">
        <f t="shared" si="3"/>
        <v>7820</v>
      </c>
      <c r="X7">
        <f t="shared" si="4"/>
        <v>1.3837175629993383</v>
      </c>
      <c r="Y7">
        <f t="shared" si="5"/>
        <v>0.10741373784852049</v>
      </c>
      <c r="Z7">
        <f t="shared" si="6"/>
        <v>0.1683673469387755</v>
      </c>
    </row>
    <row r="8" spans="1:26">
      <c r="A8">
        <v>23</v>
      </c>
      <c r="B8">
        <v>64</v>
      </c>
      <c r="C8">
        <v>4801.7</v>
      </c>
      <c r="D8">
        <v>3924.4</v>
      </c>
      <c r="E8">
        <f t="shared" si="0"/>
        <v>0.18270612491409288</v>
      </c>
      <c r="F8">
        <v>4208</v>
      </c>
      <c r="G8">
        <v>1846.2</v>
      </c>
      <c r="H8">
        <v>2.0844</v>
      </c>
      <c r="I8">
        <v>228</v>
      </c>
      <c r="J8">
        <v>1539960</v>
      </c>
      <c r="K8">
        <v>177</v>
      </c>
      <c r="L8">
        <v>48</v>
      </c>
      <c r="M8">
        <f t="shared" si="1"/>
        <v>6647.9</v>
      </c>
      <c r="O8">
        <v>23</v>
      </c>
      <c r="P8">
        <v>64</v>
      </c>
      <c r="Q8">
        <v>12428</v>
      </c>
      <c r="R8">
        <v>3589</v>
      </c>
      <c r="S8">
        <v>2.33</v>
      </c>
      <c r="T8">
        <f t="shared" si="2"/>
        <v>257</v>
      </c>
      <c r="U8">
        <v>208</v>
      </c>
      <c r="V8">
        <v>49</v>
      </c>
      <c r="W8">
        <f t="shared" si="3"/>
        <v>16017</v>
      </c>
      <c r="X8">
        <f t="shared" si="4"/>
        <v>1.4093322703410101</v>
      </c>
      <c r="Y8">
        <f t="shared" si="5"/>
        <v>0.11782767223181732</v>
      </c>
      <c r="Z8">
        <f t="shared" si="6"/>
        <v>0.12719298245614036</v>
      </c>
    </row>
    <row r="9" spans="1:26">
      <c r="A9">
        <v>24</v>
      </c>
      <c r="B9">
        <v>128</v>
      </c>
      <c r="C9">
        <v>9298.6</v>
      </c>
      <c r="D9">
        <v>7440.9</v>
      </c>
      <c r="E9">
        <f t="shared" si="0"/>
        <v>0.19978276299658021</v>
      </c>
      <c r="F9">
        <v>7804.6</v>
      </c>
      <c r="G9">
        <v>1896.7</v>
      </c>
      <c r="H9">
        <v>2.2734000000000001</v>
      </c>
      <c r="I9">
        <v>262</v>
      </c>
      <c r="J9">
        <v>2587916</v>
      </c>
      <c r="K9">
        <v>176</v>
      </c>
      <c r="L9">
        <v>81</v>
      </c>
      <c r="M9">
        <f t="shared" si="1"/>
        <v>11195.300000000001</v>
      </c>
      <c r="O9">
        <v>24</v>
      </c>
      <c r="P9">
        <v>128</v>
      </c>
      <c r="Q9">
        <v>22586</v>
      </c>
      <c r="R9">
        <v>3595</v>
      </c>
      <c r="S9">
        <v>2.3820000000000001</v>
      </c>
      <c r="T9">
        <f t="shared" si="2"/>
        <v>285</v>
      </c>
      <c r="U9">
        <v>203</v>
      </c>
      <c r="V9">
        <v>82</v>
      </c>
      <c r="W9">
        <f t="shared" si="3"/>
        <v>26181</v>
      </c>
      <c r="X9">
        <f t="shared" si="4"/>
        <v>1.338570650183559</v>
      </c>
      <c r="Y9">
        <f t="shared" si="5"/>
        <v>4.7769860121404079E-2</v>
      </c>
      <c r="Z9">
        <f t="shared" si="6"/>
        <v>8.7786259541984726E-2</v>
      </c>
    </row>
    <row r="10" spans="1:26">
      <c r="A10">
        <v>25</v>
      </c>
      <c r="B10">
        <v>128</v>
      </c>
      <c r="C10">
        <v>19117</v>
      </c>
      <c r="D10">
        <v>15514</v>
      </c>
      <c r="E10">
        <f t="shared" si="0"/>
        <v>0.18847099440288748</v>
      </c>
      <c r="F10">
        <v>16148</v>
      </c>
      <c r="G10">
        <v>3689.3</v>
      </c>
      <c r="H10">
        <v>2.3828</v>
      </c>
      <c r="I10">
        <v>288</v>
      </c>
      <c r="J10">
        <v>5134736</v>
      </c>
      <c r="K10">
        <v>208</v>
      </c>
      <c r="L10">
        <v>82</v>
      </c>
      <c r="M10">
        <f t="shared" si="1"/>
        <v>22806.3</v>
      </c>
      <c r="O10">
        <v>25</v>
      </c>
      <c r="P10">
        <v>128</v>
      </c>
      <c r="Q10">
        <v>51266</v>
      </c>
      <c r="R10">
        <v>7200</v>
      </c>
      <c r="S10">
        <v>2.7429000000000001</v>
      </c>
      <c r="T10">
        <f t="shared" si="2"/>
        <v>323</v>
      </c>
      <c r="U10">
        <v>239</v>
      </c>
      <c r="V10">
        <v>84</v>
      </c>
      <c r="W10">
        <f t="shared" si="3"/>
        <v>58466</v>
      </c>
      <c r="X10">
        <f t="shared" si="4"/>
        <v>1.5635898852510051</v>
      </c>
      <c r="Y10">
        <f t="shared" si="5"/>
        <v>0.15112472721168377</v>
      </c>
      <c r="Z10">
        <f t="shared" si="6"/>
        <v>0.12152777777777778</v>
      </c>
    </row>
    <row r="11" spans="1:26">
      <c r="A11">
        <v>26</v>
      </c>
      <c r="B11">
        <v>128</v>
      </c>
      <c r="C11">
        <v>45648</v>
      </c>
      <c r="D11">
        <v>33565</v>
      </c>
      <c r="E11">
        <f t="shared" si="0"/>
        <v>0.26469943918682087</v>
      </c>
      <c r="G11">
        <v>7428.2</v>
      </c>
      <c r="H11">
        <v>2.6387999999999998</v>
      </c>
      <c r="I11">
        <v>324</v>
      </c>
      <c r="J11">
        <v>10254748</v>
      </c>
      <c r="K11">
        <v>237</v>
      </c>
      <c r="L11">
        <v>83</v>
      </c>
      <c r="M11">
        <f t="shared" si="1"/>
        <v>53076.2</v>
      </c>
      <c r="O11">
        <v>26</v>
      </c>
      <c r="P11">
        <v>128</v>
      </c>
      <c r="Q11">
        <v>111540</v>
      </c>
      <c r="R11">
        <v>14462</v>
      </c>
      <c r="S11">
        <v>2.8734000000000002</v>
      </c>
      <c r="T11">
        <f t="shared" si="2"/>
        <v>349</v>
      </c>
      <c r="U11">
        <v>264</v>
      </c>
      <c r="V11">
        <v>85</v>
      </c>
      <c r="W11">
        <f t="shared" si="3"/>
        <v>126002</v>
      </c>
      <c r="X11">
        <f t="shared" si="4"/>
        <v>1.3739830658562595</v>
      </c>
      <c r="Y11">
        <f t="shared" si="5"/>
        <v>8.8904047294224797E-2</v>
      </c>
      <c r="Z11">
        <f t="shared" si="6"/>
        <v>7.716049382716049E-2</v>
      </c>
    </row>
    <row r="12" spans="1:26">
      <c r="A12">
        <v>27</v>
      </c>
      <c r="B12">
        <v>128</v>
      </c>
      <c r="C12">
        <v>99878</v>
      </c>
      <c r="D12">
        <v>68558</v>
      </c>
      <c r="E12">
        <f t="shared" si="0"/>
        <v>0.31358257073629831</v>
      </c>
      <c r="G12">
        <v>15361</v>
      </c>
      <c r="H12">
        <v>2.8782000000000001</v>
      </c>
      <c r="I12">
        <v>358</v>
      </c>
      <c r="J12">
        <v>20494596</v>
      </c>
      <c r="K12">
        <v>270</v>
      </c>
      <c r="L12">
        <v>84</v>
      </c>
      <c r="M12">
        <f t="shared" si="1"/>
        <v>115239</v>
      </c>
    </row>
    <row r="15" spans="1:26">
      <c r="C15" s="9" t="s">
        <v>33</v>
      </c>
      <c r="D15" s="9"/>
      <c r="E15" s="9"/>
      <c r="F15" s="9"/>
      <c r="G15" s="9"/>
      <c r="H15" s="9"/>
    </row>
    <row r="16" spans="1:26">
      <c r="A16" t="s">
        <v>4</v>
      </c>
      <c r="B16" t="s">
        <v>11</v>
      </c>
      <c r="C16" t="s">
        <v>5</v>
      </c>
      <c r="D16" t="s">
        <v>29</v>
      </c>
      <c r="F16" t="s">
        <v>30</v>
      </c>
      <c r="G16" t="s">
        <v>0</v>
      </c>
      <c r="H16" t="s">
        <v>1</v>
      </c>
      <c r="I16" t="s">
        <v>3</v>
      </c>
      <c r="J16" t="s">
        <v>22</v>
      </c>
      <c r="K16" t="s">
        <v>31</v>
      </c>
      <c r="L16" t="s">
        <v>32</v>
      </c>
    </row>
    <row r="17" spans="1:12">
      <c r="A17">
        <v>18</v>
      </c>
      <c r="B17">
        <v>64</v>
      </c>
      <c r="C17">
        <v>32.18</v>
      </c>
      <c r="G17">
        <v>14.085000000000001</v>
      </c>
      <c r="H17">
        <v>2.0347</v>
      </c>
      <c r="I17">
        <v>187</v>
      </c>
      <c r="J17">
        <f>SUM(J18:J23)/128</f>
        <v>12276.940658569336</v>
      </c>
      <c r="K17">
        <v>71</v>
      </c>
      <c r="L17">
        <v>115</v>
      </c>
    </row>
    <row r="18" spans="1:12">
      <c r="A18">
        <v>19</v>
      </c>
      <c r="B18">
        <v>64</v>
      </c>
      <c r="C18">
        <v>66.224999999999994</v>
      </c>
      <c r="G18">
        <v>27.738</v>
      </c>
      <c r="H18">
        <v>2.4611000000000001</v>
      </c>
      <c r="I18">
        <v>226</v>
      </c>
      <c r="J18">
        <f>SUM(J19:J22)/32</f>
        <v>24999.466796875</v>
      </c>
      <c r="K18">
        <v>105</v>
      </c>
      <c r="L18">
        <v>120</v>
      </c>
    </row>
    <row r="19" spans="1:12">
      <c r="A19">
        <v>20</v>
      </c>
      <c r="B19">
        <v>64</v>
      </c>
      <c r="C19">
        <v>147.99</v>
      </c>
      <c r="G19">
        <v>55.134999999999998</v>
      </c>
      <c r="H19">
        <v>2.8542000000000001</v>
      </c>
      <c r="I19">
        <v>267</v>
      </c>
      <c r="J19">
        <f>(J20+SUM(J20:J23))/32</f>
        <v>50100.9375</v>
      </c>
      <c r="K19">
        <v>143</v>
      </c>
      <c r="L19">
        <v>124</v>
      </c>
    </row>
    <row r="20" spans="1:12">
      <c r="A20">
        <v>21</v>
      </c>
      <c r="B20">
        <v>64</v>
      </c>
      <c r="C20">
        <v>286.88</v>
      </c>
      <c r="G20">
        <v>115.49</v>
      </c>
      <c r="H20">
        <v>3.2852999999999999</v>
      </c>
      <c r="I20">
        <v>309</v>
      </c>
      <c r="J20">
        <f>(J21+J22+J23)/13</f>
        <v>106882</v>
      </c>
      <c r="K20">
        <v>182</v>
      </c>
      <c r="L20">
        <v>127</v>
      </c>
    </row>
    <row r="21" spans="1:12">
      <c r="A21">
        <v>22</v>
      </c>
      <c r="B21">
        <v>64</v>
      </c>
      <c r="C21">
        <v>641.07000000000005</v>
      </c>
      <c r="G21">
        <v>230.93</v>
      </c>
      <c r="H21">
        <v>3.7557</v>
      </c>
      <c r="I21">
        <v>371</v>
      </c>
      <c r="J21">
        <v>217000</v>
      </c>
      <c r="K21">
        <v>241</v>
      </c>
      <c r="L21">
        <v>130</v>
      </c>
    </row>
    <row r="22" spans="1:12">
      <c r="A22">
        <v>23</v>
      </c>
      <c r="B22">
        <v>64</v>
      </c>
      <c r="C22">
        <v>1310.8</v>
      </c>
      <c r="G22">
        <v>464.16</v>
      </c>
      <c r="H22">
        <v>4.2805999999999997</v>
      </c>
      <c r="I22">
        <v>417</v>
      </c>
      <c r="J22">
        <v>426000</v>
      </c>
      <c r="K22">
        <v>283</v>
      </c>
      <c r="L22">
        <v>134</v>
      </c>
    </row>
    <row r="23" spans="1:12">
      <c r="A23">
        <v>24</v>
      </c>
      <c r="B23">
        <v>128</v>
      </c>
      <c r="C23">
        <v>2278.6</v>
      </c>
      <c r="G23">
        <v>438.61</v>
      </c>
      <c r="H23">
        <v>4.4545000000000003</v>
      </c>
      <c r="I23">
        <v>530</v>
      </c>
      <c r="J23">
        <v>746466</v>
      </c>
      <c r="K23">
        <v>296</v>
      </c>
      <c r="L23">
        <v>233</v>
      </c>
    </row>
    <row r="24" spans="1:12">
      <c r="A24">
        <v>25</v>
      </c>
      <c r="B24">
        <v>128</v>
      </c>
      <c r="C24">
        <v>4849.5</v>
      </c>
      <c r="G24">
        <v>897.89</v>
      </c>
      <c r="H24">
        <v>4.9602000000000004</v>
      </c>
      <c r="I24">
        <v>592</v>
      </c>
      <c r="J24">
        <v>1678416</v>
      </c>
      <c r="K24">
        <v>355</v>
      </c>
      <c r="L24">
        <v>237</v>
      </c>
    </row>
    <row r="25" spans="1:12">
      <c r="A25">
        <v>26</v>
      </c>
      <c r="B25">
        <v>128</v>
      </c>
      <c r="C25">
        <v>10505</v>
      </c>
      <c r="G25">
        <v>1808</v>
      </c>
      <c r="H25">
        <v>5.5225999999999997</v>
      </c>
      <c r="I25">
        <v>665</v>
      </c>
      <c r="J25">
        <v>3354524</v>
      </c>
      <c r="K25">
        <v>424</v>
      </c>
      <c r="L25">
        <v>240</v>
      </c>
    </row>
    <row r="26" spans="1:12">
      <c r="A26">
        <v>27</v>
      </c>
      <c r="B26">
        <v>128</v>
      </c>
      <c r="C26">
        <v>23395</v>
      </c>
      <c r="G26">
        <v>3703.3</v>
      </c>
      <c r="H26">
        <v>6.2370999999999999</v>
      </c>
      <c r="I26">
        <v>747</v>
      </c>
      <c r="J26">
        <v>6691028</v>
      </c>
      <c r="K26">
        <v>504</v>
      </c>
      <c r="L26">
        <v>243</v>
      </c>
    </row>
    <row r="27" spans="1:12">
      <c r="A27">
        <v>28</v>
      </c>
      <c r="B27">
        <v>128</v>
      </c>
      <c r="C27">
        <v>52713</v>
      </c>
      <c r="G27">
        <v>7186.3</v>
      </c>
      <c r="H27">
        <v>6.7157</v>
      </c>
      <c r="I27">
        <v>825</v>
      </c>
      <c r="J27">
        <v>13367364</v>
      </c>
      <c r="K27">
        <v>578</v>
      </c>
      <c r="L27">
        <v>246</v>
      </c>
    </row>
    <row r="28" spans="1:12">
      <c r="A28">
        <v>29</v>
      </c>
      <c r="J28">
        <f>J27*2</f>
        <v>26734728</v>
      </c>
    </row>
  </sheetData>
  <mergeCells count="3">
    <mergeCell ref="C1:H1"/>
    <mergeCell ref="C15:H15"/>
    <mergeCell ref="Q1:S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3943-CDF5-594D-B63F-6EFC023828D8}">
  <dimension ref="A1:N32"/>
  <sheetViews>
    <sheetView zoomScale="82" workbookViewId="0">
      <selection activeCell="F48" sqref="F48"/>
    </sheetView>
  </sheetViews>
  <sheetFormatPr baseColWidth="10" defaultColWidth="10.6640625" defaultRowHeight="15"/>
  <cols>
    <col min="1" max="1" width="17.5" customWidth="1"/>
    <col min="2" max="2" width="13.5" customWidth="1"/>
    <col min="3" max="3" width="13" customWidth="1"/>
    <col min="4" max="4" width="13.6640625" customWidth="1"/>
    <col min="6" max="6" width="15.6640625" customWidth="1"/>
    <col min="11" max="11" width="16.1640625" customWidth="1"/>
  </cols>
  <sheetData>
    <row r="1" spans="1:14">
      <c r="A1" t="s">
        <v>67</v>
      </c>
      <c r="F1" t="s">
        <v>73</v>
      </c>
    </row>
    <row r="2" spans="1:14">
      <c r="A2" t="s">
        <v>4</v>
      </c>
      <c r="B2" t="s">
        <v>0</v>
      </c>
      <c r="C2" t="s">
        <v>1</v>
      </c>
      <c r="D2" t="s">
        <v>3</v>
      </c>
      <c r="F2" t="s">
        <v>4</v>
      </c>
      <c r="G2" t="s">
        <v>0</v>
      </c>
      <c r="H2" t="s">
        <v>1</v>
      </c>
      <c r="I2" t="s">
        <v>3</v>
      </c>
    </row>
    <row r="3" spans="1:14">
      <c r="A3">
        <v>17</v>
      </c>
      <c r="B3">
        <v>401</v>
      </c>
      <c r="C3">
        <v>0.70899999999999996</v>
      </c>
      <c r="D3">
        <v>65.7</v>
      </c>
      <c r="F3">
        <v>17</v>
      </c>
      <c r="G3">
        <v>219</v>
      </c>
      <c r="H3">
        <v>0.378</v>
      </c>
      <c r="I3">
        <v>38.5</v>
      </c>
    </row>
    <row r="4" spans="1:14">
      <c r="A4">
        <v>18</v>
      </c>
      <c r="B4" s="5">
        <v>836</v>
      </c>
      <c r="C4" s="5">
        <v>0.78400000000000003</v>
      </c>
      <c r="D4" s="5">
        <v>72</v>
      </c>
      <c r="F4">
        <v>18</v>
      </c>
      <c r="G4" s="5">
        <v>475</v>
      </c>
      <c r="H4" s="5">
        <v>0.39800000000000002</v>
      </c>
      <c r="I4" s="5">
        <v>41.3</v>
      </c>
    </row>
    <row r="5" spans="1:14">
      <c r="A5">
        <v>19</v>
      </c>
      <c r="B5" s="5">
        <v>1900</v>
      </c>
      <c r="C5" s="5">
        <v>0.81899999999999995</v>
      </c>
      <c r="D5" s="5">
        <v>78</v>
      </c>
      <c r="F5">
        <v>19</v>
      </c>
      <c r="G5" s="5">
        <v>1100</v>
      </c>
      <c r="H5" s="5">
        <v>0.41599999999999998</v>
      </c>
      <c r="I5" s="5">
        <v>43.1</v>
      </c>
    </row>
    <row r="6" spans="1:14">
      <c r="A6">
        <v>20</v>
      </c>
      <c r="B6" s="6">
        <v>3800</v>
      </c>
      <c r="C6" s="6">
        <v>0.90600000000000003</v>
      </c>
      <c r="D6" s="6">
        <v>84.5</v>
      </c>
      <c r="F6">
        <v>20</v>
      </c>
      <c r="G6" s="6">
        <v>2400</v>
      </c>
      <c r="H6" s="6">
        <v>0.496</v>
      </c>
      <c r="I6" s="6">
        <v>47.1</v>
      </c>
    </row>
    <row r="7" spans="1:14">
      <c r="A7">
        <v>21</v>
      </c>
      <c r="B7" s="6">
        <v>8300</v>
      </c>
      <c r="C7" s="6">
        <v>0.95</v>
      </c>
      <c r="D7" s="6">
        <v>92.2</v>
      </c>
      <c r="F7">
        <v>21</v>
      </c>
      <c r="G7" s="6">
        <v>5000</v>
      </c>
      <c r="H7" s="6">
        <v>0.53500000000000003</v>
      </c>
      <c r="I7" s="6">
        <v>52.3</v>
      </c>
    </row>
    <row r="8" spans="1:14">
      <c r="A8">
        <v>22</v>
      </c>
      <c r="B8" s="6">
        <v>17700</v>
      </c>
      <c r="C8" s="6">
        <v>1</v>
      </c>
      <c r="D8" s="6">
        <v>98.6</v>
      </c>
      <c r="F8">
        <v>22</v>
      </c>
      <c r="G8" s="6">
        <v>10800</v>
      </c>
      <c r="H8" s="6">
        <v>0.54600000000000004</v>
      </c>
      <c r="I8" s="6">
        <v>53.9</v>
      </c>
    </row>
    <row r="9" spans="1:14">
      <c r="A9">
        <v>23</v>
      </c>
      <c r="B9" s="6">
        <v>36000</v>
      </c>
      <c r="C9" s="6">
        <v>1.1000000000000001</v>
      </c>
      <c r="D9" s="6">
        <v>105.6</v>
      </c>
      <c r="F9">
        <v>23</v>
      </c>
      <c r="G9" s="6">
        <v>23000</v>
      </c>
      <c r="H9" s="6">
        <v>0.57199999999999995</v>
      </c>
      <c r="I9" s="6">
        <v>57.4</v>
      </c>
    </row>
    <row r="10" spans="1:14">
      <c r="A10">
        <v>24</v>
      </c>
      <c r="B10" s="6">
        <v>78300</v>
      </c>
      <c r="C10" s="6">
        <v>1.2</v>
      </c>
      <c r="D10" s="6">
        <v>112.5</v>
      </c>
      <c r="F10">
        <v>24</v>
      </c>
      <c r="G10" s="6">
        <v>50500</v>
      </c>
      <c r="H10" s="6">
        <v>0.64100000000000001</v>
      </c>
      <c r="I10" s="6">
        <v>61.9</v>
      </c>
    </row>
    <row r="12" spans="1:14">
      <c r="A12" t="s">
        <v>68</v>
      </c>
      <c r="F12" t="s">
        <v>71</v>
      </c>
      <c r="K12" t="s">
        <v>74</v>
      </c>
    </row>
    <row r="13" spans="1:14">
      <c r="A13" t="s">
        <v>4</v>
      </c>
      <c r="B13" t="s">
        <v>0</v>
      </c>
      <c r="C13" t="s">
        <v>1</v>
      </c>
      <c r="D13" t="s">
        <v>3</v>
      </c>
      <c r="F13" t="s">
        <v>4</v>
      </c>
      <c r="G13" t="s">
        <v>70</v>
      </c>
      <c r="H13" t="s">
        <v>1</v>
      </c>
      <c r="I13" t="s">
        <v>3</v>
      </c>
      <c r="K13" t="s">
        <v>4</v>
      </c>
      <c r="L13" t="s">
        <v>70</v>
      </c>
      <c r="M13" t="s">
        <v>1</v>
      </c>
      <c r="N13" t="s">
        <v>3</v>
      </c>
    </row>
    <row r="14" spans="1:14">
      <c r="A14">
        <v>17</v>
      </c>
      <c r="B14">
        <v>616</v>
      </c>
      <c r="C14">
        <v>1.95</v>
      </c>
      <c r="D14">
        <v>153</v>
      </c>
      <c r="F14">
        <v>17</v>
      </c>
      <c r="K14">
        <v>17</v>
      </c>
      <c r="L14">
        <v>218</v>
      </c>
      <c r="M14">
        <v>0.48</v>
      </c>
      <c r="N14">
        <v>38</v>
      </c>
    </row>
    <row r="15" spans="1:14">
      <c r="A15">
        <v>18</v>
      </c>
      <c r="B15" s="5">
        <v>1256</v>
      </c>
      <c r="C15" s="5">
        <v>2.15</v>
      </c>
      <c r="D15" s="5">
        <v>173</v>
      </c>
      <c r="F15">
        <v>18</v>
      </c>
      <c r="G15" s="5">
        <v>585</v>
      </c>
      <c r="H15" s="5">
        <v>0.52</v>
      </c>
      <c r="I15" s="5">
        <v>50</v>
      </c>
      <c r="K15">
        <v>18</v>
      </c>
      <c r="L15" s="5"/>
      <c r="M15" s="5"/>
      <c r="N15" s="5"/>
    </row>
    <row r="16" spans="1:14">
      <c r="A16">
        <v>19</v>
      </c>
      <c r="B16" s="5">
        <v>2596</v>
      </c>
      <c r="C16" s="5">
        <v>2.37</v>
      </c>
      <c r="D16" s="5">
        <v>191</v>
      </c>
      <c r="F16">
        <v>19</v>
      </c>
      <c r="G16" s="5">
        <v>1241</v>
      </c>
      <c r="H16" s="5">
        <v>0.55000000000000004</v>
      </c>
      <c r="I16" s="5">
        <v>55</v>
      </c>
      <c r="K16">
        <v>19</v>
      </c>
      <c r="L16" s="5"/>
      <c r="M16" s="5"/>
      <c r="N16" s="5"/>
    </row>
    <row r="17" spans="1:14">
      <c r="A17">
        <v>20</v>
      </c>
      <c r="B17" s="6">
        <v>5318</v>
      </c>
      <c r="C17" s="6">
        <v>2.56</v>
      </c>
      <c r="D17" s="6">
        <v>213</v>
      </c>
      <c r="F17">
        <v>20</v>
      </c>
      <c r="G17" s="6"/>
      <c r="H17" s="6"/>
      <c r="I17" s="6"/>
      <c r="K17">
        <v>20</v>
      </c>
      <c r="L17" s="6">
        <v>2106</v>
      </c>
      <c r="M17" s="6">
        <v>0.56999999999999995</v>
      </c>
      <c r="N17" s="6">
        <v>51</v>
      </c>
    </row>
    <row r="18" spans="1:14">
      <c r="A18">
        <v>21</v>
      </c>
      <c r="B18" s="6">
        <v>10914</v>
      </c>
      <c r="C18" s="6">
        <v>2.75</v>
      </c>
      <c r="D18" s="6">
        <v>235</v>
      </c>
      <c r="F18">
        <v>21</v>
      </c>
      <c r="G18" s="6">
        <v>5502</v>
      </c>
      <c r="H18" s="6">
        <v>0.62</v>
      </c>
      <c r="I18" s="6">
        <v>64</v>
      </c>
      <c r="K18">
        <v>21</v>
      </c>
      <c r="L18" s="6">
        <v>4433</v>
      </c>
      <c r="M18" s="6">
        <v>0.59</v>
      </c>
      <c r="N18" s="6">
        <v>52</v>
      </c>
    </row>
    <row r="19" spans="1:14">
      <c r="A19">
        <v>22</v>
      </c>
      <c r="B19" s="6">
        <v>22236</v>
      </c>
      <c r="C19" s="6">
        <v>2.96</v>
      </c>
      <c r="D19" s="6">
        <v>259</v>
      </c>
      <c r="F19">
        <v>22</v>
      </c>
      <c r="G19" s="6">
        <v>11347</v>
      </c>
      <c r="H19" s="6">
        <v>0.64</v>
      </c>
      <c r="I19" s="6">
        <v>68</v>
      </c>
      <c r="K19">
        <v>22</v>
      </c>
      <c r="L19" s="6"/>
      <c r="M19" s="6"/>
      <c r="N19" s="6"/>
    </row>
    <row r="20" spans="1:14">
      <c r="A20">
        <v>23</v>
      </c>
      <c r="B20" s="6">
        <v>44892</v>
      </c>
      <c r="C20" s="6">
        <v>3.18</v>
      </c>
      <c r="D20" s="6">
        <v>285</v>
      </c>
      <c r="F20">
        <v>23</v>
      </c>
      <c r="G20" s="6"/>
      <c r="H20" s="6"/>
      <c r="I20" s="6"/>
      <c r="K20">
        <v>23</v>
      </c>
      <c r="L20" s="6"/>
      <c r="M20" s="6"/>
      <c r="N20" s="6"/>
    </row>
    <row r="21" spans="1:14">
      <c r="A21">
        <v>24</v>
      </c>
      <c r="B21" s="6">
        <v>92550</v>
      </c>
      <c r="C21" s="6">
        <v>3.41</v>
      </c>
      <c r="D21" s="6">
        <v>310</v>
      </c>
      <c r="F21">
        <v>24</v>
      </c>
      <c r="G21" s="6">
        <v>47935</v>
      </c>
      <c r="H21" s="6">
        <v>0.7</v>
      </c>
      <c r="I21" s="6">
        <v>78</v>
      </c>
      <c r="K21">
        <v>24</v>
      </c>
      <c r="L21" s="6">
        <v>40514</v>
      </c>
      <c r="M21" s="6">
        <v>0.66</v>
      </c>
      <c r="N21" s="6">
        <v>66</v>
      </c>
    </row>
    <row r="23" spans="1:14">
      <c r="A23" t="s">
        <v>69</v>
      </c>
      <c r="F23" t="s">
        <v>72</v>
      </c>
      <c r="K23" t="s">
        <v>75</v>
      </c>
    </row>
    <row r="24" spans="1:14">
      <c r="A24" t="s">
        <v>4</v>
      </c>
      <c r="B24" t="s">
        <v>0</v>
      </c>
      <c r="C24" t="s">
        <v>1</v>
      </c>
      <c r="D24" t="s">
        <v>3</v>
      </c>
      <c r="F24" t="s">
        <v>4</v>
      </c>
      <c r="G24" t="s">
        <v>0</v>
      </c>
      <c r="H24" t="s">
        <v>1</v>
      </c>
      <c r="I24" t="s">
        <v>3</v>
      </c>
      <c r="K24" t="s">
        <v>4</v>
      </c>
      <c r="L24" t="s">
        <v>0</v>
      </c>
      <c r="M24" t="s">
        <v>1</v>
      </c>
      <c r="N24" t="s">
        <v>3</v>
      </c>
    </row>
    <row r="25" spans="1:14">
      <c r="A25">
        <v>17</v>
      </c>
      <c r="B25">
        <v>613</v>
      </c>
      <c r="C25">
        <v>0.85</v>
      </c>
      <c r="D25">
        <v>153</v>
      </c>
      <c r="F25">
        <v>17</v>
      </c>
      <c r="K25">
        <v>17</v>
      </c>
      <c r="L25">
        <v>177</v>
      </c>
      <c r="M25">
        <v>0.27500000000000002</v>
      </c>
      <c r="N25">
        <v>44</v>
      </c>
    </row>
    <row r="26" spans="1:14">
      <c r="A26">
        <v>18</v>
      </c>
      <c r="B26" s="5">
        <v>1247</v>
      </c>
      <c r="C26" s="5">
        <v>0.96</v>
      </c>
      <c r="D26" s="5">
        <v>173</v>
      </c>
      <c r="F26">
        <v>18</v>
      </c>
      <c r="G26" s="5">
        <v>420</v>
      </c>
      <c r="H26" s="5">
        <v>0.35</v>
      </c>
      <c r="I26" s="5">
        <v>60</v>
      </c>
      <c r="K26">
        <v>18</v>
      </c>
      <c r="L26" s="5"/>
      <c r="M26" s="5"/>
      <c r="N26" s="5"/>
    </row>
    <row r="27" spans="1:14">
      <c r="A27">
        <v>19</v>
      </c>
      <c r="B27" s="5">
        <v>2549</v>
      </c>
      <c r="C27" s="5">
        <v>1.05</v>
      </c>
      <c r="D27" s="5">
        <v>192</v>
      </c>
      <c r="F27">
        <v>19</v>
      </c>
      <c r="G27" s="5">
        <v>885</v>
      </c>
      <c r="H27" s="5">
        <v>0.38</v>
      </c>
      <c r="I27" s="5">
        <v>66</v>
      </c>
      <c r="K27">
        <v>19</v>
      </c>
      <c r="L27" s="5"/>
      <c r="M27" s="5"/>
      <c r="N27" s="5"/>
    </row>
    <row r="28" spans="1:14">
      <c r="A28">
        <v>20</v>
      </c>
      <c r="B28" s="6">
        <v>5161</v>
      </c>
      <c r="C28" s="6">
        <v>1.1499999999999999</v>
      </c>
      <c r="D28" s="6">
        <v>211</v>
      </c>
      <c r="F28">
        <v>20</v>
      </c>
      <c r="G28" s="6"/>
      <c r="H28" s="6"/>
      <c r="I28" s="6"/>
      <c r="K28">
        <v>20</v>
      </c>
      <c r="L28" s="6"/>
      <c r="M28" s="6"/>
      <c r="N28" s="6"/>
    </row>
    <row r="29" spans="1:14">
      <c r="A29">
        <v>21</v>
      </c>
      <c r="B29" s="6">
        <v>10478</v>
      </c>
      <c r="C29" s="6">
        <v>1.25</v>
      </c>
      <c r="D29" s="6">
        <v>231</v>
      </c>
      <c r="F29">
        <v>21</v>
      </c>
      <c r="G29" s="6">
        <v>3917</v>
      </c>
      <c r="H29" s="6">
        <v>0.45</v>
      </c>
      <c r="I29" s="6">
        <v>79</v>
      </c>
      <c r="K29">
        <v>21</v>
      </c>
      <c r="L29" s="6">
        <v>3426</v>
      </c>
      <c r="M29" s="6">
        <v>0.39800000000000002</v>
      </c>
      <c r="N29" s="6">
        <v>66</v>
      </c>
    </row>
    <row r="30" spans="1:14">
      <c r="A30">
        <v>22</v>
      </c>
      <c r="B30" s="6">
        <v>21157</v>
      </c>
      <c r="C30" s="6">
        <v>1.38</v>
      </c>
      <c r="D30" s="6">
        <v>259</v>
      </c>
      <c r="F30">
        <v>22</v>
      </c>
      <c r="G30" s="6">
        <v>7992</v>
      </c>
      <c r="H30" s="6">
        <v>0.5</v>
      </c>
      <c r="I30" s="6">
        <v>88</v>
      </c>
      <c r="K30">
        <v>22</v>
      </c>
      <c r="L30" s="6"/>
      <c r="M30" s="6"/>
      <c r="N30" s="6"/>
    </row>
    <row r="31" spans="1:14">
      <c r="A31">
        <v>23</v>
      </c>
      <c r="B31" s="6">
        <v>42867</v>
      </c>
      <c r="C31" s="6">
        <v>1.48</v>
      </c>
      <c r="D31" s="6">
        <v>281</v>
      </c>
      <c r="F31">
        <v>23</v>
      </c>
      <c r="G31" s="6"/>
      <c r="H31" s="6"/>
      <c r="I31" s="6"/>
      <c r="K31">
        <v>23</v>
      </c>
      <c r="L31" s="6"/>
      <c r="M31" s="6"/>
      <c r="N31" s="6"/>
    </row>
    <row r="32" spans="1:14">
      <c r="A32">
        <v>24</v>
      </c>
      <c r="B32" s="6">
        <v>86858</v>
      </c>
      <c r="C32" s="6">
        <v>1.6</v>
      </c>
      <c r="D32" s="6">
        <v>305</v>
      </c>
      <c r="F32">
        <v>24</v>
      </c>
      <c r="G32" s="6">
        <v>33770</v>
      </c>
      <c r="H32" s="6">
        <v>0.57999999999999996</v>
      </c>
      <c r="I32" s="6">
        <v>104</v>
      </c>
      <c r="K32">
        <v>24</v>
      </c>
      <c r="L32" s="6"/>
      <c r="M32" s="6"/>
      <c r="N32" s="6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6EE3-E7AA-4ACC-949C-35ED7994E77B}">
  <dimension ref="A1:I10"/>
  <sheetViews>
    <sheetView zoomScale="130" zoomScaleNormal="130" workbookViewId="0">
      <selection activeCell="I5" sqref="I5"/>
    </sheetView>
  </sheetViews>
  <sheetFormatPr baseColWidth="10" defaultColWidth="8.83203125" defaultRowHeight="15"/>
  <cols>
    <col min="1" max="1" width="18.83203125" customWidth="1"/>
    <col min="2" max="3" width="14" customWidth="1"/>
    <col min="4" max="4" width="13.5" customWidth="1"/>
    <col min="5" max="5" width="13.6640625" customWidth="1"/>
    <col min="6" max="6" width="12.5" customWidth="1"/>
  </cols>
  <sheetData>
    <row r="1" spans="1:9">
      <c r="A1" t="s">
        <v>76</v>
      </c>
    </row>
    <row r="2" spans="1:9">
      <c r="A2" t="s">
        <v>4</v>
      </c>
      <c r="B2" t="s">
        <v>5</v>
      </c>
      <c r="C2" t="s">
        <v>56</v>
      </c>
      <c r="D2" t="s">
        <v>1</v>
      </c>
      <c r="E2" t="s">
        <v>78</v>
      </c>
      <c r="F2" t="s">
        <v>77</v>
      </c>
      <c r="G2" t="s">
        <v>79</v>
      </c>
      <c r="H2" t="s">
        <v>14</v>
      </c>
      <c r="I2" t="s">
        <v>127</v>
      </c>
    </row>
    <row r="3" spans="1:9">
      <c r="A3">
        <v>20</v>
      </c>
      <c r="B3">
        <v>9881</v>
      </c>
      <c r="C3">
        <v>3336</v>
      </c>
      <c r="D3">
        <v>25</v>
      </c>
      <c r="E3">
        <v>96</v>
      </c>
      <c r="F3">
        <v>192</v>
      </c>
      <c r="G3">
        <v>10</v>
      </c>
      <c r="H3">
        <f>B3+C3</f>
        <v>13217</v>
      </c>
      <c r="I3">
        <v>28</v>
      </c>
    </row>
    <row r="4" spans="1:9">
      <c r="A4">
        <v>21</v>
      </c>
      <c r="B4" s="5">
        <v>17891</v>
      </c>
      <c r="C4" s="5">
        <v>5764</v>
      </c>
      <c r="D4" s="5">
        <v>26</v>
      </c>
      <c r="E4" s="5">
        <v>192</v>
      </c>
      <c r="F4">
        <v>384</v>
      </c>
      <c r="G4">
        <v>11</v>
      </c>
      <c r="H4">
        <f t="shared" ref="H4:H7" si="0">B4+C4</f>
        <v>23655</v>
      </c>
      <c r="I4">
        <v>29.5</v>
      </c>
    </row>
    <row r="5" spans="1:9">
      <c r="A5">
        <v>22</v>
      </c>
      <c r="B5" s="5">
        <v>36099</v>
      </c>
      <c r="C5" s="5">
        <v>6754</v>
      </c>
      <c r="D5" s="5">
        <v>26</v>
      </c>
      <c r="E5" s="5">
        <v>192</v>
      </c>
      <c r="F5">
        <v>384</v>
      </c>
      <c r="G5">
        <v>11</v>
      </c>
      <c r="H5">
        <f t="shared" si="0"/>
        <v>42853</v>
      </c>
      <c r="I5">
        <v>31</v>
      </c>
    </row>
    <row r="6" spans="1:9">
      <c r="A6">
        <v>23</v>
      </c>
      <c r="B6" s="6">
        <v>65301</v>
      </c>
      <c r="C6" s="6">
        <v>11506</v>
      </c>
      <c r="D6" s="6">
        <v>28</v>
      </c>
      <c r="E6" s="6">
        <v>384</v>
      </c>
      <c r="F6">
        <v>768</v>
      </c>
      <c r="G6">
        <v>12</v>
      </c>
      <c r="H6">
        <f t="shared" si="0"/>
        <v>76807</v>
      </c>
      <c r="I6">
        <v>32.5</v>
      </c>
    </row>
    <row r="7" spans="1:9">
      <c r="A7">
        <v>24</v>
      </c>
      <c r="B7" s="6">
        <v>130198</v>
      </c>
      <c r="C7" s="6">
        <v>13509</v>
      </c>
      <c r="D7" s="6">
        <v>28</v>
      </c>
      <c r="E7" s="6">
        <v>384</v>
      </c>
      <c r="F7">
        <v>768</v>
      </c>
      <c r="G7">
        <v>12</v>
      </c>
      <c r="H7">
        <f t="shared" si="0"/>
        <v>143707</v>
      </c>
      <c r="I7">
        <v>34</v>
      </c>
    </row>
    <row r="8" spans="1:9">
      <c r="D8" s="6"/>
      <c r="E8" s="6"/>
      <c r="F8" s="6"/>
    </row>
    <row r="9" spans="1:9">
      <c r="D9" s="6"/>
      <c r="E9" s="6"/>
      <c r="F9" s="6"/>
    </row>
    <row r="10" spans="1:9">
      <c r="D10" s="6"/>
      <c r="E10" s="6"/>
      <c r="F10" s="6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3767-AD5D-455D-A7F2-CBC5A63FD2B3}">
  <dimension ref="A1:H10"/>
  <sheetViews>
    <sheetView zoomScale="130" zoomScaleNormal="130" workbookViewId="0">
      <selection activeCell="J12" sqref="J12"/>
    </sheetView>
  </sheetViews>
  <sheetFormatPr baseColWidth="10" defaultColWidth="8.6640625" defaultRowHeight="15"/>
  <cols>
    <col min="2" max="2" width="19.33203125" customWidth="1"/>
    <col min="3" max="4" width="15.6640625" customWidth="1"/>
    <col min="5" max="5" width="15.1640625" customWidth="1"/>
    <col min="6" max="6" width="12.33203125" customWidth="1"/>
    <col min="7" max="7" width="15.6640625" customWidth="1"/>
    <col min="8" max="8" width="12.6640625" customWidth="1"/>
  </cols>
  <sheetData>
    <row r="1" spans="1:8">
      <c r="C1" s="9" t="s">
        <v>16</v>
      </c>
      <c r="D1" s="9"/>
      <c r="E1" s="9"/>
      <c r="F1" s="9"/>
    </row>
    <row r="2" spans="1:8">
      <c r="A2" t="s">
        <v>4</v>
      </c>
      <c r="B2" t="s">
        <v>20</v>
      </c>
      <c r="C2" t="s">
        <v>5</v>
      </c>
      <c r="D2" t="s">
        <v>28</v>
      </c>
      <c r="E2" t="s">
        <v>0</v>
      </c>
      <c r="F2" t="s">
        <v>1</v>
      </c>
      <c r="G2" t="s">
        <v>21</v>
      </c>
      <c r="H2" t="s">
        <v>22</v>
      </c>
    </row>
    <row r="3" spans="1:8">
      <c r="A3">
        <v>18</v>
      </c>
      <c r="C3">
        <v>537</v>
      </c>
      <c r="D3">
        <v>468.22</v>
      </c>
      <c r="E3">
        <v>3555.2</v>
      </c>
      <c r="F3">
        <v>2.0661</v>
      </c>
      <c r="G3">
        <v>223</v>
      </c>
      <c r="H3">
        <v>874284</v>
      </c>
    </row>
    <row r="4" spans="1:8">
      <c r="A4">
        <v>19</v>
      </c>
      <c r="C4">
        <v>1324.7</v>
      </c>
      <c r="D4">
        <v>1162.9000000000001</v>
      </c>
      <c r="E4">
        <v>7158.8</v>
      </c>
      <c r="F4">
        <v>2.3319999999999999</v>
      </c>
      <c r="G4">
        <v>257</v>
      </c>
      <c r="H4">
        <v>1714512</v>
      </c>
    </row>
    <row r="5" spans="1:8">
      <c r="A5">
        <v>20</v>
      </c>
      <c r="B5">
        <f t="shared" ref="B5:B10" si="0">POWER(2,A5)</f>
        <v>1048576</v>
      </c>
      <c r="C5">
        <v>2783.1</v>
      </c>
      <c r="D5">
        <v>2445.9</v>
      </c>
      <c r="E5">
        <v>15094</v>
      </c>
      <c r="F5">
        <v>2.5589</v>
      </c>
      <c r="G5">
        <v>284</v>
      </c>
      <c r="H5">
        <v>3356088</v>
      </c>
    </row>
    <row r="6" spans="1:8">
      <c r="A6">
        <v>21</v>
      </c>
      <c r="B6">
        <f t="shared" si="0"/>
        <v>2097152</v>
      </c>
      <c r="C6">
        <v>5633</v>
      </c>
      <c r="D6">
        <v>5183.1000000000004</v>
      </c>
      <c r="E6">
        <v>31509</v>
      </c>
      <c r="F6">
        <v>2.8163</v>
      </c>
      <c r="G6">
        <v>325</v>
      </c>
      <c r="H6">
        <v>6640824</v>
      </c>
    </row>
    <row r="7" spans="1:8">
      <c r="A7">
        <v>22</v>
      </c>
      <c r="B7">
        <f t="shared" si="0"/>
        <v>4194304</v>
      </c>
      <c r="C7">
        <v>11381</v>
      </c>
      <c r="D7">
        <v>10504</v>
      </c>
      <c r="E7">
        <v>64291</v>
      </c>
      <c r="F7">
        <v>3.0884999999999998</v>
      </c>
      <c r="G7">
        <v>359</v>
      </c>
      <c r="H7">
        <v>13230704</v>
      </c>
    </row>
    <row r="8" spans="1:8">
      <c r="A8">
        <v>23</v>
      </c>
      <c r="B8">
        <f t="shared" si="0"/>
        <v>8388608</v>
      </c>
      <c r="C8">
        <v>22966</v>
      </c>
      <c r="D8">
        <v>21239</v>
      </c>
      <c r="E8">
        <v>136460</v>
      </c>
      <c r="F8">
        <v>3.4645000000000001</v>
      </c>
      <c r="G8">
        <v>401</v>
      </c>
      <c r="H8">
        <v>26361168</v>
      </c>
    </row>
    <row r="9" spans="1:8">
      <c r="A9">
        <v>24</v>
      </c>
      <c r="B9">
        <f t="shared" si="0"/>
        <v>16777216</v>
      </c>
      <c r="C9" t="s">
        <v>13</v>
      </c>
    </row>
    <row r="10" spans="1:8">
      <c r="A10">
        <v>25</v>
      </c>
      <c r="B10">
        <f t="shared" si="0"/>
        <v>33554432</v>
      </c>
      <c r="C10" t="s">
        <v>13</v>
      </c>
    </row>
  </sheetData>
  <mergeCells count="1">
    <mergeCell ref="C1:F1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8172-96A5-453C-842F-D8C9ECAF82BC}">
  <dimension ref="A1:G12"/>
  <sheetViews>
    <sheetView zoomScale="115" zoomScaleNormal="115" workbookViewId="0">
      <selection activeCell="I10" sqref="I10"/>
    </sheetView>
  </sheetViews>
  <sheetFormatPr baseColWidth="10" defaultColWidth="8.6640625" defaultRowHeight="15"/>
  <cols>
    <col min="2" max="2" width="15.6640625" customWidth="1"/>
    <col min="3" max="3" width="15.1640625" customWidth="1"/>
    <col min="4" max="4" width="12.33203125" customWidth="1"/>
    <col min="5" max="5" width="12.5" customWidth="1"/>
    <col min="6" max="6" width="11" customWidth="1"/>
    <col min="7" max="7" width="15.5" customWidth="1"/>
  </cols>
  <sheetData>
    <row r="1" spans="1:7">
      <c r="B1" s="9" t="s">
        <v>10</v>
      </c>
      <c r="C1" s="9"/>
      <c r="D1" s="9"/>
    </row>
    <row r="2" spans="1:7">
      <c r="A2" t="s">
        <v>4</v>
      </c>
      <c r="B2" t="s">
        <v>5</v>
      </c>
      <c r="C2" t="s">
        <v>0</v>
      </c>
      <c r="D2" t="s">
        <v>1</v>
      </c>
      <c r="E2" t="s">
        <v>2</v>
      </c>
      <c r="F2" t="s">
        <v>3</v>
      </c>
      <c r="G2" t="s">
        <v>19</v>
      </c>
    </row>
    <row r="3" spans="1:7">
      <c r="A3">
        <v>18</v>
      </c>
      <c r="B3">
        <v>86.3</v>
      </c>
      <c r="C3">
        <v>90.81</v>
      </c>
      <c r="D3">
        <v>31.1</v>
      </c>
      <c r="E3">
        <v>6483680</v>
      </c>
      <c r="F3">
        <f t="shared" ref="F3:F8" si="0">E3/1000</f>
        <v>6483.68</v>
      </c>
      <c r="G3">
        <v>57348</v>
      </c>
    </row>
    <row r="4" spans="1:7">
      <c r="A4">
        <v>19</v>
      </c>
      <c r="B4">
        <v>173.5</v>
      </c>
      <c r="C4">
        <v>152.80000000000001</v>
      </c>
      <c r="D4">
        <v>38.200000000000003</v>
      </c>
      <c r="E4">
        <v>6644192</v>
      </c>
      <c r="F4">
        <f t="shared" si="0"/>
        <v>6644.192</v>
      </c>
      <c r="G4">
        <f>G3*1.9</f>
        <v>108961.2</v>
      </c>
    </row>
    <row r="5" spans="1:7">
      <c r="A5">
        <v>20</v>
      </c>
      <c r="B5">
        <v>363.73500000000001</v>
      </c>
      <c r="C5">
        <v>293.89999999999998</v>
      </c>
      <c r="D5">
        <v>49.15</v>
      </c>
      <c r="E5">
        <v>6829200</v>
      </c>
      <c r="F5">
        <f t="shared" si="0"/>
        <v>6829.2</v>
      </c>
      <c r="G5">
        <f>G4*1.9</f>
        <v>207026.28</v>
      </c>
    </row>
    <row r="6" spans="1:7">
      <c r="A6">
        <v>21</v>
      </c>
      <c r="B6">
        <v>862.1</v>
      </c>
      <c r="C6">
        <v>532.5</v>
      </c>
      <c r="D6">
        <v>54.6</v>
      </c>
      <c r="E6">
        <v>7017904</v>
      </c>
      <c r="F6">
        <f t="shared" si="0"/>
        <v>7017.9040000000005</v>
      </c>
      <c r="G6">
        <f>G5*1.9</f>
        <v>393349.93199999997</v>
      </c>
    </row>
    <row r="7" spans="1:7">
      <c r="A7">
        <v>22</v>
      </c>
      <c r="B7">
        <v>1929.4</v>
      </c>
      <c r="C7">
        <v>1085.5</v>
      </c>
      <c r="D7">
        <v>60.1</v>
      </c>
      <c r="E7">
        <v>7214832</v>
      </c>
      <c r="F7">
        <f t="shared" si="0"/>
        <v>7214.8320000000003</v>
      </c>
      <c r="G7">
        <v>756784</v>
      </c>
    </row>
    <row r="8" spans="1:7">
      <c r="A8">
        <v>23</v>
      </c>
      <c r="B8">
        <v>4045.5</v>
      </c>
      <c r="C8">
        <v>2228.5</v>
      </c>
      <c r="D8">
        <v>65.400000000000006</v>
      </c>
      <c r="E8">
        <v>7408192</v>
      </c>
      <c r="F8">
        <f t="shared" si="0"/>
        <v>7408.192</v>
      </c>
      <c r="G8">
        <v>1500300</v>
      </c>
    </row>
    <row r="9" spans="1:7">
      <c r="A9">
        <v>24</v>
      </c>
      <c r="B9" t="s">
        <v>27</v>
      </c>
    </row>
    <row r="10" spans="1:7">
      <c r="A10">
        <v>25</v>
      </c>
    </row>
    <row r="11" spans="1:7">
      <c r="A11">
        <v>26</v>
      </c>
    </row>
    <row r="12" spans="1:7">
      <c r="A12">
        <v>27</v>
      </c>
    </row>
  </sheetData>
  <mergeCells count="1">
    <mergeCell ref="B1:D1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078A-BFAE-4FB7-B3FF-2BA2A66F9E93}">
  <dimension ref="A1:G10"/>
  <sheetViews>
    <sheetView zoomScale="115" zoomScaleNormal="115" workbookViewId="0">
      <selection activeCell="I37" sqref="I37"/>
    </sheetView>
  </sheetViews>
  <sheetFormatPr baseColWidth="10" defaultColWidth="8.6640625" defaultRowHeight="15"/>
  <cols>
    <col min="2" max="2" width="15.6640625" customWidth="1"/>
    <col min="3" max="3" width="15.1640625" customWidth="1"/>
    <col min="4" max="4" width="12.33203125" customWidth="1"/>
    <col min="5" max="5" width="11" customWidth="1"/>
    <col min="6" max="6" width="11.33203125" customWidth="1"/>
  </cols>
  <sheetData>
    <row r="1" spans="1:7">
      <c r="B1" s="9" t="s">
        <v>18</v>
      </c>
      <c r="C1" s="9"/>
      <c r="D1" s="9"/>
    </row>
    <row r="2" spans="1:7">
      <c r="A2" t="s">
        <v>4</v>
      </c>
      <c r="B2" t="s">
        <v>5</v>
      </c>
      <c r="C2" t="s">
        <v>0</v>
      </c>
      <c r="D2" t="s">
        <v>1</v>
      </c>
      <c r="E2" t="s">
        <v>3</v>
      </c>
      <c r="F2" t="s">
        <v>19</v>
      </c>
      <c r="G2" t="s">
        <v>14</v>
      </c>
    </row>
    <row r="3" spans="1:7">
      <c r="A3">
        <v>18</v>
      </c>
      <c r="B3">
        <v>539.70000000000005</v>
      </c>
      <c r="C3">
        <v>1769.2</v>
      </c>
      <c r="D3">
        <v>1.2038</v>
      </c>
      <c r="E3">
        <v>122</v>
      </c>
      <c r="F3">
        <v>675976</v>
      </c>
      <c r="G3">
        <f t="shared" ref="G3:G8" si="0">B3+C3</f>
        <v>2308.9</v>
      </c>
    </row>
    <row r="4" spans="1:7">
      <c r="A4">
        <v>19</v>
      </c>
      <c r="B4">
        <v>1322</v>
      </c>
      <c r="C4">
        <v>3825.2</v>
      </c>
      <c r="D4">
        <v>1.3102</v>
      </c>
      <c r="E4">
        <v>137</v>
      </c>
      <c r="F4">
        <v>1282324</v>
      </c>
      <c r="G4">
        <f t="shared" si="0"/>
        <v>5147.2</v>
      </c>
    </row>
    <row r="5" spans="1:7">
      <c r="A5">
        <v>20</v>
      </c>
      <c r="B5">
        <v>2842</v>
      </c>
      <c r="C5">
        <v>8194.7000000000007</v>
      </c>
      <c r="D5">
        <v>1.5024999999999999</v>
      </c>
      <c r="E5">
        <v>153</v>
      </c>
      <c r="F5">
        <v>2586992</v>
      </c>
      <c r="G5">
        <f t="shared" si="0"/>
        <v>11036.7</v>
      </c>
    </row>
    <row r="6" spans="1:7">
      <c r="A6">
        <v>21</v>
      </c>
      <c r="B6">
        <v>5826</v>
      </c>
      <c r="C6">
        <v>16662</v>
      </c>
      <c r="D6">
        <v>1.579</v>
      </c>
      <c r="E6">
        <v>169</v>
      </c>
      <c r="F6">
        <v>5070956</v>
      </c>
      <c r="G6">
        <f t="shared" si="0"/>
        <v>22488</v>
      </c>
    </row>
    <row r="7" spans="1:7">
      <c r="A7">
        <v>22</v>
      </c>
      <c r="B7">
        <v>11571</v>
      </c>
      <c r="C7">
        <v>33785</v>
      </c>
      <c r="D7">
        <v>1.8425</v>
      </c>
      <c r="E7">
        <v>194</v>
      </c>
      <c r="F7">
        <v>9903068</v>
      </c>
      <c r="G7">
        <f t="shared" si="0"/>
        <v>45356</v>
      </c>
    </row>
    <row r="8" spans="1:7">
      <c r="A8">
        <v>23</v>
      </c>
      <c r="B8">
        <v>23793</v>
      </c>
      <c r="C8">
        <v>69762</v>
      </c>
      <c r="D8">
        <v>1.9023000000000001</v>
      </c>
      <c r="E8">
        <v>213</v>
      </c>
      <c r="F8">
        <v>19740168</v>
      </c>
      <c r="G8">
        <f t="shared" si="0"/>
        <v>93555</v>
      </c>
    </row>
    <row r="9" spans="1:7">
      <c r="A9">
        <v>24</v>
      </c>
      <c r="B9" t="s">
        <v>12</v>
      </c>
    </row>
    <row r="10" spans="1:7">
      <c r="A10">
        <v>25</v>
      </c>
      <c r="B10" t="s">
        <v>12</v>
      </c>
    </row>
  </sheetData>
  <mergeCells count="1">
    <mergeCell ref="B1:D1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A485-6B21-4C11-962F-76A1722C4C9A}">
  <dimension ref="A1:S19"/>
  <sheetViews>
    <sheetView tabSelected="1" zoomScaleNormal="100" workbookViewId="0">
      <selection activeCell="G30" sqref="G30"/>
    </sheetView>
  </sheetViews>
  <sheetFormatPr baseColWidth="10" defaultColWidth="8.6640625" defaultRowHeight="15"/>
  <cols>
    <col min="1" max="2" width="14.1640625" customWidth="1"/>
    <col min="3" max="3" width="21" customWidth="1"/>
    <col min="4" max="4" width="16.6640625" customWidth="1"/>
    <col min="5" max="5" width="14.6640625" customWidth="1"/>
    <col min="6" max="6" width="15.1640625" customWidth="1"/>
    <col min="7" max="7" width="12.33203125" customWidth="1"/>
    <col min="8" max="8" width="21" customWidth="1"/>
    <col min="9" max="9" width="16.6640625" customWidth="1"/>
    <col min="10" max="11" width="14.6640625" customWidth="1"/>
    <col min="12" max="12" width="15.1640625" customWidth="1"/>
    <col min="13" max="13" width="21" customWidth="1"/>
    <col min="14" max="14" width="16.6640625" customWidth="1"/>
    <col min="15" max="15" width="14.6640625" customWidth="1"/>
    <col min="16" max="16" width="12.33203125" customWidth="1"/>
    <col min="17" max="17" width="21" customWidth="1"/>
    <col min="18" max="18" width="16.6640625" customWidth="1"/>
    <col min="19" max="19" width="14.6640625" customWidth="1"/>
    <col min="24" max="24" width="12" customWidth="1"/>
    <col min="25" max="25" width="11.6640625" customWidth="1"/>
    <col min="27" max="27" width="15.6640625" customWidth="1"/>
    <col min="28" max="28" width="15.1640625" customWidth="1"/>
    <col min="29" max="29" width="12.33203125" customWidth="1"/>
  </cols>
  <sheetData>
    <row r="1" spans="1:19">
      <c r="C1" s="7" t="s">
        <v>54</v>
      </c>
      <c r="D1" s="7"/>
      <c r="E1" s="7"/>
      <c r="H1" s="7" t="s">
        <v>51</v>
      </c>
      <c r="I1" s="7"/>
      <c r="J1" s="7"/>
      <c r="K1" s="1"/>
      <c r="M1" s="7" t="s">
        <v>52</v>
      </c>
      <c r="N1" s="7"/>
      <c r="O1" s="7"/>
      <c r="Q1" s="7" t="s">
        <v>53</v>
      </c>
      <c r="R1" s="7"/>
      <c r="S1" s="7"/>
    </row>
    <row r="2" spans="1:19">
      <c r="A2" t="s">
        <v>4</v>
      </c>
      <c r="B2" t="s">
        <v>20</v>
      </c>
      <c r="C2" t="s">
        <v>50</v>
      </c>
      <c r="D2" t="s">
        <v>49</v>
      </c>
      <c r="E2" t="s">
        <v>21</v>
      </c>
      <c r="H2" t="s">
        <v>50</v>
      </c>
      <c r="I2" t="s">
        <v>49</v>
      </c>
      <c r="J2" t="s">
        <v>21</v>
      </c>
      <c r="M2" t="s">
        <v>50</v>
      </c>
      <c r="N2" t="s">
        <v>49</v>
      </c>
      <c r="O2" t="s">
        <v>21</v>
      </c>
      <c r="Q2" t="s">
        <v>50</v>
      </c>
      <c r="R2" t="s">
        <v>49</v>
      </c>
      <c r="S2" t="s">
        <v>21</v>
      </c>
    </row>
    <row r="3" spans="1:19">
      <c r="A3">
        <v>18</v>
      </c>
      <c r="B3">
        <f xml:space="preserve"> POWER(2, A3)</f>
        <v>262144</v>
      </c>
      <c r="C3">
        <v>2670</v>
      </c>
      <c r="D3">
        <v>2.67</v>
      </c>
      <c r="E3">
        <v>58</v>
      </c>
      <c r="H3">
        <f>C3+3*PIP_FRI!C3+PIP_FRI!G3</f>
        <v>3095.183</v>
      </c>
      <c r="I3">
        <f>D3+PIP_FRI!H3</f>
        <v>3.8072999999999997</v>
      </c>
      <c r="J3">
        <f>E3+PIP_FRI!I3</f>
        <v>172</v>
      </c>
      <c r="M3">
        <f>C3+3*Deepfold!B3+Deepfold!C3</f>
        <v>6058.3</v>
      </c>
      <c r="N3">
        <f>D3+Deepfold!D3</f>
        <v>3.8738000000000001</v>
      </c>
      <c r="O3">
        <f>E3+Deepfold!E3</f>
        <v>180</v>
      </c>
      <c r="Q3">
        <f>C3+Orion!B3*3+Orion!C3</f>
        <v>3019.71</v>
      </c>
      <c r="R3">
        <f>D3+Orion!D3</f>
        <v>33.770000000000003</v>
      </c>
      <c r="S3">
        <f>I3+Orion!F3</f>
        <v>6487.4873000000007</v>
      </c>
    </row>
    <row r="4" spans="1:19">
      <c r="A4">
        <v>19</v>
      </c>
      <c r="B4">
        <f t="shared" ref="B4:B8" si="0" xml:space="preserve"> POWER(2, A4)</f>
        <v>524288</v>
      </c>
      <c r="C4">
        <v>5490</v>
      </c>
      <c r="D4">
        <v>3.02</v>
      </c>
      <c r="E4">
        <v>64</v>
      </c>
      <c r="H4">
        <f>C4+3*PIP_FRI!C4+PIP_FRI!G4</f>
        <v>6345.5099999999993</v>
      </c>
      <c r="I4">
        <f>D4+PIP_FRI!H4</f>
        <v>4.3022999999999998</v>
      </c>
      <c r="J4">
        <f>E4+PIP_FRI!I4</f>
        <v>195</v>
      </c>
      <c r="M4">
        <f>C4+3*Deepfold!B4+Deepfold!C4</f>
        <v>13281.2</v>
      </c>
      <c r="N4">
        <f>D4+Deepfold!D4</f>
        <v>4.3301999999999996</v>
      </c>
      <c r="O4">
        <f>E4+Deepfold!E4</f>
        <v>201</v>
      </c>
      <c r="Q4">
        <f>C4+Orion!B4*3+Orion!C4</f>
        <v>6163.3</v>
      </c>
      <c r="R4">
        <f>D4+Orion!D4</f>
        <v>41.220000000000006</v>
      </c>
      <c r="S4">
        <f>I4+Orion!F4</f>
        <v>6648.4943000000003</v>
      </c>
    </row>
    <row r="5" spans="1:19">
      <c r="A5">
        <v>20</v>
      </c>
      <c r="B5">
        <f t="shared" si="0"/>
        <v>1048576</v>
      </c>
      <c r="C5">
        <v>11114</v>
      </c>
      <c r="D5">
        <v>3.14</v>
      </c>
      <c r="E5">
        <v>69.536000000000001</v>
      </c>
      <c r="H5">
        <f>C5+3*PIP_FRI!C5+PIP_FRI!G5</f>
        <v>12992</v>
      </c>
      <c r="I5">
        <f>D5+PIP_FRI!H5</f>
        <v>4.7023999999999999</v>
      </c>
      <c r="J5">
        <f>E5+PIP_FRI!I5</f>
        <v>225.536</v>
      </c>
      <c r="M5">
        <f>C5+3*Deepfold!B5+Deepfold!C5</f>
        <v>27834.7</v>
      </c>
      <c r="N5">
        <f>D5+Deepfold!D5</f>
        <v>4.6425000000000001</v>
      </c>
      <c r="O5">
        <f>E5+Deepfold!E5</f>
        <v>222.536</v>
      </c>
      <c r="Q5">
        <f>C5+Orion!B5*3+Orion!C5</f>
        <v>12499.105</v>
      </c>
      <c r="R5">
        <f>D5+Orion!D5</f>
        <v>52.29</v>
      </c>
      <c r="S5">
        <f>I5+Orion!F5</f>
        <v>6833.9023999999999</v>
      </c>
    </row>
    <row r="6" spans="1:19">
      <c r="A6">
        <v>21</v>
      </c>
      <c r="B6">
        <f t="shared" si="0"/>
        <v>2097152</v>
      </c>
      <c r="C6">
        <v>22569</v>
      </c>
      <c r="D6">
        <v>3.41</v>
      </c>
      <c r="E6">
        <v>75.647999999999996</v>
      </c>
      <c r="H6">
        <f>C6+3*PIP_FRI!C6+PIP_FRI!G6</f>
        <v>26423.33</v>
      </c>
      <c r="I6">
        <f>D6+PIP_FRI!H6</f>
        <v>5.1055999999999999</v>
      </c>
      <c r="J6">
        <f>E6+PIP_FRI!I6</f>
        <v>251.648</v>
      </c>
      <c r="M6">
        <f>C6+3*Deepfold!B6+Deepfold!C6</f>
        <v>56709</v>
      </c>
      <c r="N6">
        <f>D6+Deepfold!D6</f>
        <v>4.9889999999999999</v>
      </c>
      <c r="O6">
        <f>E6+Deepfold!E6</f>
        <v>244.648</v>
      </c>
      <c r="Q6">
        <f>C6+Orion!B6*3+Orion!C6</f>
        <v>25687.8</v>
      </c>
      <c r="R6">
        <f>D6+Orion!D6</f>
        <v>58.010000000000005</v>
      </c>
      <c r="S6">
        <f>I6+Orion!F6</f>
        <v>7023.0096000000003</v>
      </c>
    </row>
    <row r="7" spans="1:19">
      <c r="A7">
        <v>22</v>
      </c>
      <c r="B7">
        <f t="shared" si="0"/>
        <v>4194304</v>
      </c>
      <c r="C7">
        <v>44776</v>
      </c>
      <c r="D7">
        <v>3.69</v>
      </c>
      <c r="E7">
        <v>82.016000000000005</v>
      </c>
      <c r="H7">
        <f>C7+3*PIP_FRI!C7+PIP_FRI!G7</f>
        <v>52744.59</v>
      </c>
      <c r="I7">
        <f>D7+PIP_FRI!H7</f>
        <v>5.5621999999999998</v>
      </c>
      <c r="J7">
        <f>E7+PIP_FRI!I7</f>
        <v>278.01600000000002</v>
      </c>
      <c r="M7">
        <f>C7+3*Deepfold!B7+Deepfold!C7</f>
        <v>113274</v>
      </c>
      <c r="N7">
        <f>D7+Deepfold!D7</f>
        <v>5.5324999999999998</v>
      </c>
      <c r="O7">
        <f>E7+Deepfold!E7</f>
        <v>276.01600000000002</v>
      </c>
      <c r="Q7">
        <f>C7+Orion!B7*3+Orion!C7</f>
        <v>51649.7</v>
      </c>
      <c r="R7">
        <f>D7+Orion!D7</f>
        <v>63.79</v>
      </c>
      <c r="S7">
        <f>I7+Orion!F7</f>
        <v>7220.3942000000006</v>
      </c>
    </row>
    <row r="8" spans="1:19">
      <c r="A8">
        <v>23</v>
      </c>
      <c r="B8">
        <f t="shared" si="0"/>
        <v>8388608</v>
      </c>
      <c r="C8">
        <v>89577</v>
      </c>
      <c r="D8">
        <v>4.0030000000000001</v>
      </c>
      <c r="E8">
        <v>88.64</v>
      </c>
      <c r="H8">
        <f>C8+3*PIP_FRI!C8+PIP_FRI!G8</f>
        <v>105828.3</v>
      </c>
      <c r="I8">
        <f>D8+PIP_FRI!H8</f>
        <v>6.0874000000000006</v>
      </c>
      <c r="J8">
        <f>E8+PIP_FRI!I8</f>
        <v>316.64</v>
      </c>
      <c r="M8">
        <f>C8+3*Deepfold!B8+Deepfold!C8</f>
        <v>230718</v>
      </c>
      <c r="N8">
        <f>D8+Deepfold!D8</f>
        <v>5.9053000000000004</v>
      </c>
      <c r="O8">
        <f>E8+Deepfold!E8</f>
        <v>301.64</v>
      </c>
      <c r="Q8">
        <f>C8+Orion!B8*3+Orion!C8</f>
        <v>103942</v>
      </c>
      <c r="R8">
        <f>D8+Orion!D8</f>
        <v>69.403000000000006</v>
      </c>
      <c r="S8">
        <f>I8+Orion!F8</f>
        <v>7414.2794000000004</v>
      </c>
    </row>
    <row r="12" spans="1:19">
      <c r="C12" s="7" t="s">
        <v>55</v>
      </c>
      <c r="D12" s="7"/>
      <c r="E12" s="7"/>
      <c r="H12" s="7" t="s">
        <v>51</v>
      </c>
      <c r="I12" s="7"/>
      <c r="J12" s="7"/>
      <c r="K12" s="1"/>
      <c r="M12" s="7" t="s">
        <v>52</v>
      </c>
      <c r="N12" s="7"/>
      <c r="O12" s="7"/>
      <c r="Q12" s="7" t="s">
        <v>53</v>
      </c>
      <c r="R12" s="7"/>
      <c r="S12" s="7"/>
    </row>
    <row r="13" spans="1:19">
      <c r="A13" t="s">
        <v>4</v>
      </c>
      <c r="B13" t="s">
        <v>20</v>
      </c>
      <c r="C13" t="s">
        <v>50</v>
      </c>
      <c r="D13" t="s">
        <v>49</v>
      </c>
      <c r="E13" t="s">
        <v>21</v>
      </c>
      <c r="H13" t="s">
        <v>50</v>
      </c>
      <c r="I13" t="s">
        <v>49</v>
      </c>
      <c r="J13" t="s">
        <v>21</v>
      </c>
      <c r="M13" t="s">
        <v>50</v>
      </c>
      <c r="N13" t="s">
        <v>49</v>
      </c>
      <c r="O13" t="s">
        <v>21</v>
      </c>
      <c r="Q13" t="s">
        <v>50</v>
      </c>
      <c r="R13" t="s">
        <v>49</v>
      </c>
      <c r="S13" t="s">
        <v>21</v>
      </c>
    </row>
    <row r="14" spans="1:19">
      <c r="A14">
        <v>18</v>
      </c>
      <c r="B14">
        <f xml:space="preserve"> POWER(2, A14)</f>
        <v>262144</v>
      </c>
      <c r="C14">
        <v>100.42</v>
      </c>
      <c r="D14">
        <v>74.209999999999994</v>
      </c>
      <c r="E14">
        <v>2.456</v>
      </c>
      <c r="H14">
        <f>C14+PIP_FRI!C3+PIP_FRI!G3</f>
        <v>279.04300000000001</v>
      </c>
      <c r="I14">
        <f>D14+PIP_FRI!H3</f>
        <v>75.34729999999999</v>
      </c>
      <c r="J14">
        <f>E14+PIP_FRI!I3</f>
        <v>116.456</v>
      </c>
      <c r="M14">
        <f>C14+Deepfold!B3+Deepfold!C3</f>
        <v>2409.3200000000002</v>
      </c>
      <c r="N14">
        <f>D14+Deepfold!D3</f>
        <v>75.413799999999995</v>
      </c>
      <c r="O14">
        <f>E14+Deepfold!E3</f>
        <v>124.456</v>
      </c>
      <c r="Q14">
        <f>C14+Orion!B3+Orion!C3</f>
        <v>277.52999999999997</v>
      </c>
      <c r="R14">
        <f>H14+Orion!D3</f>
        <v>310.14300000000003</v>
      </c>
      <c r="S14">
        <f>I14+Orion!F3</f>
        <v>6559.0273000000007</v>
      </c>
    </row>
    <row r="15" spans="1:19">
      <c r="A15">
        <v>19</v>
      </c>
      <c r="B15">
        <f t="shared" ref="B15:B19" si="1" xml:space="preserve"> POWER(2, A15)</f>
        <v>524288</v>
      </c>
      <c r="C15">
        <v>206</v>
      </c>
      <c r="D15">
        <v>155.57</v>
      </c>
      <c r="E15">
        <v>2.5840000000000001</v>
      </c>
      <c r="H15">
        <f>C15+PIP_FRI!C4+PIP_FRI!G4</f>
        <v>566.99</v>
      </c>
      <c r="I15">
        <f>D15+PIP_FRI!H4</f>
        <v>156.85229999999999</v>
      </c>
      <c r="J15">
        <f>E15+PIP_FRI!I4</f>
        <v>133.584</v>
      </c>
      <c r="M15">
        <f>C15+Deepfold!B4+Deepfold!C4</f>
        <v>5353.2</v>
      </c>
      <c r="N15">
        <f>D15+Deepfold!D4</f>
        <v>156.8802</v>
      </c>
      <c r="O15">
        <f>E15+Deepfold!E4</f>
        <v>139.584</v>
      </c>
      <c r="Q15">
        <f>C15+Orion!B4+Orion!C4</f>
        <v>532.29999999999995</v>
      </c>
      <c r="R15">
        <f>H15+Orion!D4</f>
        <v>605.19000000000005</v>
      </c>
      <c r="S15">
        <f>I15+Orion!F4</f>
        <v>6801.0442999999996</v>
      </c>
    </row>
    <row r="16" spans="1:19">
      <c r="A16">
        <v>20</v>
      </c>
      <c r="B16">
        <f t="shared" si="1"/>
        <v>1048576</v>
      </c>
      <c r="C16">
        <v>417.2</v>
      </c>
      <c r="D16">
        <v>323.38</v>
      </c>
      <c r="E16">
        <v>2.7120000000000002</v>
      </c>
      <c r="H16">
        <f>C16+PIP_FRI!C5+PIP_FRI!G5</f>
        <v>1197.2</v>
      </c>
      <c r="I16">
        <f>D16+PIP_FRI!H5</f>
        <v>324.94240000000002</v>
      </c>
      <c r="J16">
        <f>E16+PIP_FRI!I5</f>
        <v>158.71199999999999</v>
      </c>
      <c r="M16">
        <f>C16+Deepfold!B5+Deepfold!C5</f>
        <v>11453.900000000001</v>
      </c>
      <c r="N16">
        <f>D16+Deepfold!D5</f>
        <v>324.88249999999999</v>
      </c>
      <c r="O16">
        <f>E16+Deepfold!E5</f>
        <v>155.71199999999999</v>
      </c>
      <c r="Q16">
        <f>C16+Orion!B5+Orion!C5</f>
        <v>1074.835</v>
      </c>
      <c r="R16">
        <f>H16+Orion!D5</f>
        <v>1246.3500000000001</v>
      </c>
      <c r="S16">
        <f>I16+Orion!F5</f>
        <v>7154.1423999999997</v>
      </c>
    </row>
    <row r="17" spans="1:19">
      <c r="A17">
        <v>21</v>
      </c>
      <c r="B17">
        <f t="shared" si="1"/>
        <v>2097152</v>
      </c>
      <c r="C17">
        <v>837.35</v>
      </c>
      <c r="D17">
        <v>665.45</v>
      </c>
      <c r="E17">
        <v>2.84</v>
      </c>
      <c r="H17">
        <f>C17+PIP_FRI!C6+PIP_FRI!G6</f>
        <v>2430.6799999999998</v>
      </c>
      <c r="I17">
        <f>D17+PIP_FRI!H6</f>
        <v>667.14560000000006</v>
      </c>
      <c r="J17">
        <f>E17+PIP_FRI!I6</f>
        <v>178.84</v>
      </c>
      <c r="M17">
        <f>C17+Deepfold!B6+Deepfold!C6</f>
        <v>23325.35</v>
      </c>
      <c r="N17">
        <f>D17+Deepfold!D6</f>
        <v>667.029</v>
      </c>
      <c r="O17">
        <f>E17+Deepfold!E6</f>
        <v>171.84</v>
      </c>
      <c r="Q17">
        <f>C17+Orion!B6+Orion!C6</f>
        <v>2231.9499999999998</v>
      </c>
      <c r="R17">
        <f>H17+Orion!D6</f>
        <v>2485.2799999999997</v>
      </c>
      <c r="S17">
        <f>I17+Orion!F6</f>
        <v>7685.0496000000003</v>
      </c>
    </row>
    <row r="18" spans="1:19">
      <c r="A18">
        <v>22</v>
      </c>
      <c r="B18">
        <f t="shared" si="1"/>
        <v>4194304</v>
      </c>
      <c r="C18">
        <v>1616</v>
      </c>
      <c r="D18">
        <v>1371</v>
      </c>
      <c r="E18">
        <v>2.97</v>
      </c>
      <c r="H18">
        <f>C18+PIP_FRI!C7+PIP_FRI!G7</f>
        <v>4896.59</v>
      </c>
      <c r="I18">
        <f>D18+PIP_FRI!H7</f>
        <v>1372.8722</v>
      </c>
      <c r="J18">
        <f>E18+PIP_FRI!I7</f>
        <v>198.97</v>
      </c>
      <c r="M18">
        <f>C18+Deepfold!B7+Deepfold!C7</f>
        <v>46972</v>
      </c>
      <c r="N18">
        <f>D18+Deepfold!D7</f>
        <v>1372.8425</v>
      </c>
      <c r="O18">
        <f>E18+Deepfold!E7</f>
        <v>196.97</v>
      </c>
      <c r="Q18">
        <f>C18+Orion!B7+Orion!C7</f>
        <v>4630.8999999999996</v>
      </c>
      <c r="R18">
        <f>H18+Orion!D7</f>
        <v>4956.6900000000005</v>
      </c>
      <c r="S18">
        <f>I18+Orion!F7</f>
        <v>8587.7042000000001</v>
      </c>
    </row>
    <row r="19" spans="1:19">
      <c r="A19">
        <v>23</v>
      </c>
      <c r="B19">
        <f t="shared" si="1"/>
        <v>8388608</v>
      </c>
      <c r="C19">
        <v>3363</v>
      </c>
      <c r="D19">
        <v>2824</v>
      </c>
      <c r="E19">
        <v>3.0960000000000001</v>
      </c>
      <c r="H19">
        <f>C19+PIP_FRI!C8+PIP_FRI!G8</f>
        <v>10010.9</v>
      </c>
      <c r="I19">
        <f>D19+PIP_FRI!H8</f>
        <v>2826.0844000000002</v>
      </c>
      <c r="J19">
        <f>E19+PIP_FRI!I8</f>
        <v>231.096</v>
      </c>
      <c r="M19">
        <f>C19+Deepfold!B8+Deepfold!C8</f>
        <v>96918</v>
      </c>
      <c r="N19">
        <f>D19+Deepfold!D8</f>
        <v>2825.9023000000002</v>
      </c>
      <c r="O19">
        <f>E19+Deepfold!E8</f>
        <v>216.096</v>
      </c>
      <c r="Q19">
        <f>C19+Orion!B8+Orion!C8</f>
        <v>9637</v>
      </c>
      <c r="R19">
        <f>H19+Orion!D8</f>
        <v>10076.299999999999</v>
      </c>
      <c r="S19">
        <f>I19+Orion!F8</f>
        <v>10234.276400000001</v>
      </c>
    </row>
  </sheetData>
  <mergeCells count="8">
    <mergeCell ref="C1:E1"/>
    <mergeCell ref="H1:J1"/>
    <mergeCell ref="M1:O1"/>
    <mergeCell ref="Q1:S1"/>
    <mergeCell ref="C12:E12"/>
    <mergeCell ref="H12:J12"/>
    <mergeCell ref="M12:O12"/>
    <mergeCell ref="Q12:S12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7B08-1E13-454A-B2B2-77971710AE81}">
  <dimension ref="A1:S39"/>
  <sheetViews>
    <sheetView workbookViewId="0">
      <selection activeCell="J17" sqref="J17:J18"/>
    </sheetView>
  </sheetViews>
  <sheetFormatPr baseColWidth="10" defaultColWidth="8.6640625" defaultRowHeight="15"/>
  <cols>
    <col min="1" max="1" width="8.83203125" bestFit="1" customWidth="1"/>
    <col min="2" max="2" width="10" bestFit="1" customWidth="1"/>
    <col min="3" max="8" width="8.83203125" bestFit="1" customWidth="1"/>
    <col min="9" max="9" width="14.33203125" customWidth="1"/>
    <col min="10" max="10" width="8.83203125" bestFit="1" customWidth="1"/>
    <col min="11" max="11" width="10" bestFit="1" customWidth="1"/>
    <col min="12" max="19" width="8.83203125" bestFit="1" customWidth="1"/>
  </cols>
  <sheetData>
    <row r="1" spans="1:19">
      <c r="C1" s="9" t="s">
        <v>17</v>
      </c>
      <c r="D1" s="9"/>
      <c r="E1" s="9"/>
      <c r="J1" t="s">
        <v>60</v>
      </c>
      <c r="L1" s="9" t="s">
        <v>57</v>
      </c>
      <c r="M1" s="9"/>
      <c r="N1" s="9"/>
    </row>
    <row r="2" spans="1:19">
      <c r="A2" t="s">
        <v>4</v>
      </c>
      <c r="B2" t="s">
        <v>11</v>
      </c>
      <c r="C2" t="s">
        <v>5</v>
      </c>
      <c r="D2" t="s">
        <v>56</v>
      </c>
      <c r="E2" t="s">
        <v>1</v>
      </c>
      <c r="F2" t="s">
        <v>3</v>
      </c>
      <c r="G2" t="s">
        <v>14</v>
      </c>
      <c r="H2" t="s">
        <v>80</v>
      </c>
      <c r="J2" t="s">
        <v>4</v>
      </c>
      <c r="K2" t="s">
        <v>11</v>
      </c>
      <c r="L2" t="s">
        <v>5</v>
      </c>
      <c r="M2" t="s">
        <v>56</v>
      </c>
      <c r="N2" t="s">
        <v>1</v>
      </c>
      <c r="O2" t="s">
        <v>3</v>
      </c>
      <c r="P2" t="s">
        <v>14</v>
      </c>
      <c r="Q2" t="s">
        <v>116</v>
      </c>
    </row>
    <row r="3" spans="1:19">
      <c r="A3">
        <v>18</v>
      </c>
      <c r="B3">
        <v>64</v>
      </c>
      <c r="C3">
        <v>206</v>
      </c>
      <c r="D3">
        <v>83</v>
      </c>
      <c r="E3">
        <v>1.74</v>
      </c>
      <c r="F3">
        <v>114</v>
      </c>
      <c r="G3">
        <f>C3+D3</f>
        <v>289</v>
      </c>
      <c r="J3">
        <v>18</v>
      </c>
      <c r="K3">
        <v>64</v>
      </c>
      <c r="L3">
        <v>24.88</v>
      </c>
      <c r="M3">
        <v>15.8</v>
      </c>
      <c r="N3">
        <v>1.8009999999999999</v>
      </c>
      <c r="O3">
        <v>114</v>
      </c>
      <c r="P3">
        <f>L3+M3</f>
        <v>40.68</v>
      </c>
      <c r="Q3">
        <v>15016</v>
      </c>
    </row>
    <row r="4" spans="1:19">
      <c r="A4">
        <v>19</v>
      </c>
      <c r="B4">
        <v>64</v>
      </c>
      <c r="C4">
        <v>417</v>
      </c>
      <c r="D4">
        <v>161</v>
      </c>
      <c r="E4">
        <v>1.907</v>
      </c>
      <c r="F4">
        <v>131</v>
      </c>
      <c r="G4">
        <f>C4+D4</f>
        <v>578</v>
      </c>
      <c r="J4">
        <v>19</v>
      </c>
      <c r="K4">
        <v>64</v>
      </c>
      <c r="L4">
        <v>54.5</v>
      </c>
      <c r="M4">
        <v>26.5</v>
      </c>
      <c r="N4">
        <v>2.0510000000000002</v>
      </c>
      <c r="O4">
        <v>133</v>
      </c>
      <c r="P4">
        <f>L4+M4</f>
        <v>81</v>
      </c>
      <c r="Q4">
        <v>29908</v>
      </c>
    </row>
    <row r="5" spans="1:19">
      <c r="A5">
        <v>20</v>
      </c>
      <c r="B5">
        <v>64</v>
      </c>
      <c r="C5">
        <v>876</v>
      </c>
      <c r="D5">
        <v>325</v>
      </c>
      <c r="E5">
        <v>2.1800000000000002</v>
      </c>
      <c r="F5">
        <v>156</v>
      </c>
      <c r="G5">
        <f>C5+D5</f>
        <v>1201</v>
      </c>
      <c r="J5">
        <v>20</v>
      </c>
      <c r="K5">
        <v>64</v>
      </c>
      <c r="L5">
        <v>110.5</v>
      </c>
      <c r="M5">
        <v>47.4</v>
      </c>
      <c r="N5">
        <v>2.3159999999999998</v>
      </c>
      <c r="O5">
        <v>154</v>
      </c>
      <c r="P5">
        <f>L5+M5</f>
        <v>157.9</v>
      </c>
      <c r="Q5">
        <v>59681</v>
      </c>
    </row>
    <row r="6" spans="1:19">
      <c r="A6">
        <v>21</v>
      </c>
      <c r="B6">
        <v>64</v>
      </c>
      <c r="C6">
        <v>1828</v>
      </c>
      <c r="D6">
        <v>654</v>
      </c>
      <c r="E6">
        <v>2.39</v>
      </c>
      <c r="F6">
        <v>176</v>
      </c>
      <c r="G6">
        <f>C6+D6</f>
        <v>2482</v>
      </c>
      <c r="J6">
        <v>21</v>
      </c>
      <c r="K6">
        <v>64</v>
      </c>
      <c r="L6">
        <v>226.5</v>
      </c>
      <c r="M6">
        <v>99.85</v>
      </c>
      <c r="N6">
        <v>2.6</v>
      </c>
      <c r="O6">
        <v>177</v>
      </c>
      <c r="P6">
        <f>L6+M6</f>
        <v>326.35000000000002</v>
      </c>
      <c r="Q6">
        <v>119203</v>
      </c>
    </row>
    <row r="7" spans="1:19">
      <c r="A7">
        <v>22</v>
      </c>
      <c r="B7">
        <v>64</v>
      </c>
      <c r="C7">
        <v>3760</v>
      </c>
      <c r="D7">
        <v>1321</v>
      </c>
      <c r="E7">
        <v>2.58</v>
      </c>
      <c r="F7">
        <v>198</v>
      </c>
      <c r="G7">
        <f>C7+D7</f>
        <v>5081</v>
      </c>
      <c r="J7">
        <v>22</v>
      </c>
      <c r="K7">
        <v>64</v>
      </c>
      <c r="L7">
        <v>494.7</v>
      </c>
      <c r="M7">
        <v>172.1</v>
      </c>
      <c r="N7">
        <v>2.9060000000000001</v>
      </c>
      <c r="O7">
        <v>203</v>
      </c>
      <c r="P7">
        <f>L7+M7</f>
        <v>666.8</v>
      </c>
      <c r="Q7">
        <v>238230</v>
      </c>
      <c r="R7">
        <f>Q7/8/1000</f>
        <v>29.778749999999999</v>
      </c>
    </row>
    <row r="8" spans="1:19">
      <c r="J8">
        <v>24</v>
      </c>
      <c r="R8">
        <f>Q7*4/8</f>
        <v>119115</v>
      </c>
    </row>
    <row r="10" spans="1:19">
      <c r="A10" t="s">
        <v>58</v>
      </c>
      <c r="C10" s="9" t="s">
        <v>57</v>
      </c>
      <c r="D10" s="9"/>
      <c r="E10" s="9"/>
      <c r="J10" t="s">
        <v>61</v>
      </c>
      <c r="L10" s="9" t="s">
        <v>57</v>
      </c>
      <c r="M10" s="9"/>
      <c r="N10" s="9"/>
    </row>
    <row r="11" spans="1:19">
      <c r="A11" t="s">
        <v>4</v>
      </c>
      <c r="B11" t="s">
        <v>11</v>
      </c>
      <c r="C11" t="s">
        <v>5</v>
      </c>
      <c r="D11" t="s">
        <v>56</v>
      </c>
      <c r="E11" t="s">
        <v>1</v>
      </c>
      <c r="F11" t="s">
        <v>3</v>
      </c>
      <c r="G11" t="s">
        <v>14</v>
      </c>
      <c r="H11" t="s">
        <v>115</v>
      </c>
      <c r="J11" t="s">
        <v>4</v>
      </c>
      <c r="K11" t="s">
        <v>11</v>
      </c>
      <c r="L11" t="s">
        <v>5</v>
      </c>
      <c r="M11" t="s">
        <v>56</v>
      </c>
      <c r="N11" t="s">
        <v>1</v>
      </c>
      <c r="O11" t="s">
        <v>3</v>
      </c>
      <c r="P11" t="s">
        <v>14</v>
      </c>
      <c r="Q11" t="s">
        <v>116</v>
      </c>
      <c r="R11" t="s">
        <v>122</v>
      </c>
      <c r="S11" t="s">
        <v>123</v>
      </c>
    </row>
    <row r="12" spans="1:19">
      <c r="A12">
        <v>18</v>
      </c>
      <c r="B12">
        <v>64</v>
      </c>
      <c r="C12">
        <v>101.5</v>
      </c>
      <c r="D12">
        <v>44.62</v>
      </c>
      <c r="E12">
        <v>1.8009999999999999</v>
      </c>
      <c r="F12">
        <v>114</v>
      </c>
      <c r="G12">
        <f>C12+D12</f>
        <v>146.12</v>
      </c>
      <c r="H12">
        <v>8567</v>
      </c>
      <c r="J12">
        <v>18</v>
      </c>
      <c r="K12">
        <v>64</v>
      </c>
      <c r="L12">
        <v>20</v>
      </c>
      <c r="M12">
        <v>13</v>
      </c>
      <c r="N12">
        <v>1.8009999999999999</v>
      </c>
      <c r="O12">
        <v>114</v>
      </c>
      <c r="P12">
        <f t="shared" ref="P12:P17" si="0">L12+M12</f>
        <v>33</v>
      </c>
      <c r="Q12">
        <v>16121</v>
      </c>
      <c r="R12">
        <v>15030</v>
      </c>
      <c r="S12">
        <f>Q12-R12</f>
        <v>1091</v>
      </c>
    </row>
    <row r="13" spans="1:19">
      <c r="A13">
        <v>19</v>
      </c>
      <c r="B13">
        <v>64</v>
      </c>
      <c r="C13">
        <v>210</v>
      </c>
      <c r="D13">
        <v>86</v>
      </c>
      <c r="E13">
        <v>2.0449999999999999</v>
      </c>
      <c r="F13">
        <v>133</v>
      </c>
      <c r="G13">
        <f>C13+D13</f>
        <v>296</v>
      </c>
      <c r="H13">
        <v>17076</v>
      </c>
      <c r="J13">
        <v>19</v>
      </c>
      <c r="K13">
        <v>64</v>
      </c>
      <c r="L13">
        <v>43</v>
      </c>
      <c r="M13">
        <v>20</v>
      </c>
      <c r="N13">
        <v>2.0819999999999999</v>
      </c>
      <c r="O13">
        <v>126</v>
      </c>
      <c r="P13">
        <f t="shared" si="0"/>
        <v>63</v>
      </c>
      <c r="Q13">
        <v>32080</v>
      </c>
      <c r="R13">
        <v>30030</v>
      </c>
      <c r="S13">
        <f t="shared" ref="S13:S16" si="1">Q13-R13</f>
        <v>2050</v>
      </c>
    </row>
    <row r="14" spans="1:19">
      <c r="A14">
        <v>20</v>
      </c>
      <c r="B14">
        <v>64</v>
      </c>
      <c r="C14">
        <v>438</v>
      </c>
      <c r="D14">
        <v>168</v>
      </c>
      <c r="E14">
        <v>2.3199999999999998</v>
      </c>
      <c r="F14">
        <v>156</v>
      </c>
      <c r="G14">
        <f>C14+D14</f>
        <v>606</v>
      </c>
      <c r="H14">
        <v>34087</v>
      </c>
      <c r="J14">
        <v>20</v>
      </c>
      <c r="K14">
        <v>64</v>
      </c>
      <c r="L14">
        <v>86</v>
      </c>
      <c r="M14">
        <v>22.8</v>
      </c>
      <c r="N14">
        <v>2.5139999999999998</v>
      </c>
      <c r="O14">
        <v>150</v>
      </c>
      <c r="P14">
        <f t="shared" si="0"/>
        <v>108.8</v>
      </c>
      <c r="Q14">
        <v>63981</v>
      </c>
      <c r="R14">
        <v>60030</v>
      </c>
      <c r="S14">
        <f t="shared" si="1"/>
        <v>3951</v>
      </c>
    </row>
    <row r="15" spans="1:19">
      <c r="A15">
        <v>21</v>
      </c>
      <c r="B15">
        <v>64</v>
      </c>
      <c r="C15">
        <v>925</v>
      </c>
      <c r="D15">
        <v>334</v>
      </c>
      <c r="E15">
        <v>2.6</v>
      </c>
      <c r="F15">
        <v>176</v>
      </c>
      <c r="G15">
        <f>C15+D15</f>
        <v>1259</v>
      </c>
      <c r="H15">
        <v>69098</v>
      </c>
      <c r="J15">
        <v>21</v>
      </c>
      <c r="K15">
        <v>64</v>
      </c>
      <c r="L15">
        <v>159</v>
      </c>
      <c r="M15">
        <v>53.8</v>
      </c>
      <c r="N15">
        <v>2.6829999999999998</v>
      </c>
      <c r="O15">
        <v>173</v>
      </c>
      <c r="P15">
        <f t="shared" si="0"/>
        <v>212.8</v>
      </c>
      <c r="Q15">
        <v>127753</v>
      </c>
      <c r="R15">
        <v>120030</v>
      </c>
      <c r="S15">
        <f t="shared" si="1"/>
        <v>7723</v>
      </c>
    </row>
    <row r="16" spans="1:19">
      <c r="A16">
        <v>22</v>
      </c>
      <c r="B16">
        <v>64</v>
      </c>
      <c r="C16">
        <v>1938</v>
      </c>
      <c r="D16">
        <v>669</v>
      </c>
      <c r="E16">
        <v>2.86</v>
      </c>
      <c r="F16">
        <v>202</v>
      </c>
      <c r="G16">
        <f>C16+D16</f>
        <v>2607</v>
      </c>
      <c r="H16">
        <v>136109</v>
      </c>
      <c r="J16">
        <v>22</v>
      </c>
      <c r="K16">
        <v>64</v>
      </c>
      <c r="L16">
        <v>297</v>
      </c>
      <c r="M16">
        <v>92</v>
      </c>
      <c r="N16">
        <v>2.9089999999999998</v>
      </c>
      <c r="O16">
        <v>198</v>
      </c>
      <c r="P16">
        <f t="shared" si="0"/>
        <v>389</v>
      </c>
      <c r="Q16">
        <v>255282</v>
      </c>
      <c r="R16">
        <v>240030</v>
      </c>
      <c r="S16">
        <f t="shared" si="1"/>
        <v>15252</v>
      </c>
    </row>
    <row r="17" spans="1:19">
      <c r="J17">
        <v>23</v>
      </c>
      <c r="L17">
        <v>562</v>
      </c>
      <c r="M17">
        <v>177</v>
      </c>
      <c r="N17">
        <v>3.2</v>
      </c>
      <c r="O17">
        <v>220</v>
      </c>
      <c r="P17">
        <f t="shared" si="0"/>
        <v>739</v>
      </c>
      <c r="Q17">
        <f>31010*16</f>
        <v>496160</v>
      </c>
      <c r="R17">
        <f>Q17-S17</f>
        <v>465890</v>
      </c>
      <c r="S17">
        <v>30270</v>
      </c>
    </row>
    <row r="19" spans="1:19">
      <c r="A19" t="s">
        <v>59</v>
      </c>
      <c r="C19" s="9" t="s">
        <v>57</v>
      </c>
      <c r="D19" s="9"/>
      <c r="E19" s="9"/>
      <c r="L19" s="9"/>
      <c r="M19" s="9"/>
      <c r="N19" s="9"/>
    </row>
    <row r="20" spans="1:19">
      <c r="A20" t="s">
        <v>4</v>
      </c>
      <c r="B20" t="s">
        <v>11</v>
      </c>
      <c r="C20" t="s">
        <v>5</v>
      </c>
      <c r="D20" t="s">
        <v>56</v>
      </c>
      <c r="E20" t="s">
        <v>1</v>
      </c>
      <c r="F20" t="s">
        <v>3</v>
      </c>
      <c r="G20" t="s">
        <v>14</v>
      </c>
      <c r="H20" t="s">
        <v>124</v>
      </c>
      <c r="I20" t="s">
        <v>117</v>
      </c>
      <c r="J20" t="s">
        <v>118</v>
      </c>
      <c r="K20" t="s">
        <v>126</v>
      </c>
    </row>
    <row r="21" spans="1:19">
      <c r="A21">
        <v>18</v>
      </c>
      <c r="B21">
        <v>64</v>
      </c>
      <c r="C21">
        <v>49.9</v>
      </c>
      <c r="D21">
        <v>25</v>
      </c>
      <c r="E21">
        <v>1.8009999999999999</v>
      </c>
      <c r="F21">
        <v>114</v>
      </c>
      <c r="G21">
        <f t="shared" ref="G21:G26" si="2">C21+D21</f>
        <v>74.900000000000006</v>
      </c>
      <c r="H21">
        <v>12857</v>
      </c>
      <c r="I21">
        <v>12006</v>
      </c>
      <c r="J21">
        <v>851</v>
      </c>
      <c r="K21">
        <f>H21/4</f>
        <v>3214.25</v>
      </c>
    </row>
    <row r="22" spans="1:19">
      <c r="A22">
        <v>19</v>
      </c>
      <c r="B22">
        <v>64</v>
      </c>
      <c r="C22">
        <v>107</v>
      </c>
      <c r="D22">
        <v>45.8</v>
      </c>
      <c r="E22">
        <v>2.04</v>
      </c>
      <c r="F22">
        <v>133</v>
      </c>
      <c r="G22">
        <f t="shared" si="2"/>
        <v>152.80000000000001</v>
      </c>
      <c r="H22">
        <v>25627</v>
      </c>
      <c r="I22">
        <v>24006</v>
      </c>
      <c r="J22">
        <v>1621</v>
      </c>
      <c r="K22">
        <f t="shared" ref="K22:K25" si="3">H22/4</f>
        <v>6406.75</v>
      </c>
    </row>
    <row r="23" spans="1:19">
      <c r="A23">
        <v>20</v>
      </c>
      <c r="B23">
        <v>64</v>
      </c>
      <c r="C23">
        <v>215</v>
      </c>
      <c r="D23">
        <v>87</v>
      </c>
      <c r="E23">
        <v>2.31</v>
      </c>
      <c r="F23">
        <v>154</v>
      </c>
      <c r="G23">
        <f t="shared" si="2"/>
        <v>302</v>
      </c>
      <c r="H23">
        <v>51134</v>
      </c>
      <c r="I23">
        <v>48006</v>
      </c>
      <c r="J23">
        <v>3128</v>
      </c>
      <c r="K23">
        <f t="shared" si="3"/>
        <v>12783.5</v>
      </c>
    </row>
    <row r="24" spans="1:19">
      <c r="A24">
        <v>21</v>
      </c>
      <c r="B24">
        <v>64</v>
      </c>
      <c r="C24">
        <v>452</v>
      </c>
      <c r="D24">
        <v>169</v>
      </c>
      <c r="E24">
        <v>2.6</v>
      </c>
      <c r="F24">
        <v>176</v>
      </c>
      <c r="G24">
        <f t="shared" si="2"/>
        <v>621</v>
      </c>
      <c r="H24">
        <v>102151</v>
      </c>
      <c r="I24">
        <v>96006</v>
      </c>
      <c r="J24">
        <v>6145</v>
      </c>
      <c r="K24">
        <f t="shared" si="3"/>
        <v>25537.75</v>
      </c>
    </row>
    <row r="25" spans="1:19">
      <c r="A25">
        <v>22</v>
      </c>
      <c r="B25">
        <v>64</v>
      </c>
      <c r="C25">
        <v>974</v>
      </c>
      <c r="D25">
        <v>336</v>
      </c>
      <c r="E25">
        <v>2.89</v>
      </c>
      <c r="F25">
        <v>203</v>
      </c>
      <c r="G25">
        <f t="shared" si="2"/>
        <v>1310</v>
      </c>
      <c r="H25">
        <v>204179</v>
      </c>
      <c r="I25">
        <v>192006</v>
      </c>
      <c r="J25">
        <v>12173</v>
      </c>
      <c r="K25">
        <f t="shared" si="3"/>
        <v>51044.75</v>
      </c>
    </row>
    <row r="26" spans="1:19">
      <c r="A26">
        <v>23</v>
      </c>
      <c r="C26">
        <v>2020</v>
      </c>
      <c r="D26">
        <v>681</v>
      </c>
      <c r="E26">
        <v>3.2</v>
      </c>
      <c r="F26">
        <v>224</v>
      </c>
      <c r="G26">
        <f t="shared" si="2"/>
        <v>2701</v>
      </c>
      <c r="H26">
        <v>408201</v>
      </c>
      <c r="I26">
        <f>H26-J26</f>
        <v>384011</v>
      </c>
      <c r="J26">
        <v>24190</v>
      </c>
      <c r="K26">
        <f>H26/4</f>
        <v>102050.25</v>
      </c>
    </row>
    <row r="30" spans="1:19">
      <c r="C30" s="9" t="s">
        <v>15</v>
      </c>
      <c r="D30" s="9"/>
      <c r="E30" s="9"/>
      <c r="F30" s="9"/>
      <c r="G30" s="9"/>
    </row>
    <row r="31" spans="1:19">
      <c r="A31" t="s">
        <v>4</v>
      </c>
      <c r="B31" t="s">
        <v>20</v>
      </c>
      <c r="C31" t="s">
        <v>5</v>
      </c>
      <c r="D31" t="s">
        <v>23</v>
      </c>
      <c r="E31" t="s">
        <v>24</v>
      </c>
      <c r="F31" t="s">
        <v>7</v>
      </c>
      <c r="G31" t="s">
        <v>8</v>
      </c>
      <c r="H31" t="s">
        <v>25</v>
      </c>
      <c r="I31" t="s">
        <v>9</v>
      </c>
      <c r="J31" t="s">
        <v>21</v>
      </c>
      <c r="K31" t="s">
        <v>6</v>
      </c>
      <c r="L31" t="s">
        <v>26</v>
      </c>
    </row>
    <row r="32" spans="1:19">
      <c r="A32">
        <v>18</v>
      </c>
      <c r="B32">
        <f xml:space="preserve"> POWER(2, A32)</f>
        <v>262144</v>
      </c>
      <c r="C32">
        <v>544</v>
      </c>
      <c r="D32">
        <v>4207</v>
      </c>
      <c r="E32">
        <v>2590</v>
      </c>
      <c r="F32">
        <f>D32+E32</f>
        <v>6797</v>
      </c>
      <c r="G32">
        <v>1.2319</v>
      </c>
      <c r="H32">
        <v>0.23100000000000001</v>
      </c>
      <c r="I32">
        <f>G32+H32</f>
        <v>1.4629000000000001</v>
      </c>
      <c r="J32">
        <v>135</v>
      </c>
      <c r="K32">
        <v>41.328000000000003</v>
      </c>
      <c r="L32">
        <f>J32+K32</f>
        <v>176.328</v>
      </c>
    </row>
    <row r="33" spans="1:12">
      <c r="A33">
        <v>19</v>
      </c>
      <c r="B33">
        <f t="shared" ref="B33:B39" si="4" xml:space="preserve"> POWER(2, A33)</f>
        <v>524288</v>
      </c>
      <c r="C33">
        <v>1363.5</v>
      </c>
      <c r="D33">
        <v>9061</v>
      </c>
      <c r="E33">
        <v>5316.2</v>
      </c>
      <c r="F33">
        <f t="shared" ref="F33:F36" si="5">D33+E33</f>
        <v>14377.2</v>
      </c>
      <c r="G33">
        <v>1.3698999999999999</v>
      </c>
      <c r="H33">
        <v>0.2545</v>
      </c>
      <c r="I33">
        <f t="shared" ref="I33:I36" si="6">G33+H33</f>
        <v>1.6243999999999998</v>
      </c>
      <c r="J33">
        <v>154</v>
      </c>
      <c r="K33">
        <v>45.887999999999998</v>
      </c>
      <c r="L33">
        <f t="shared" ref="L33:L36" si="7">J33+K33</f>
        <v>199.88800000000001</v>
      </c>
    </row>
    <row r="34" spans="1:12">
      <c r="A34">
        <v>20</v>
      </c>
      <c r="B34">
        <f t="shared" si="4"/>
        <v>1048576</v>
      </c>
      <c r="C34">
        <v>2945.5</v>
      </c>
      <c r="D34">
        <v>18635</v>
      </c>
      <c r="E34">
        <v>10805</v>
      </c>
      <c r="F34">
        <f t="shared" si="5"/>
        <v>29440</v>
      </c>
      <c r="G34">
        <v>1.4719</v>
      </c>
      <c r="H34">
        <v>0.26779999999999998</v>
      </c>
      <c r="I34">
        <f t="shared" si="6"/>
        <v>1.7397</v>
      </c>
      <c r="J34">
        <v>169</v>
      </c>
      <c r="K34">
        <v>50.688000000000002</v>
      </c>
      <c r="L34">
        <f t="shared" si="7"/>
        <v>219.68799999999999</v>
      </c>
    </row>
    <row r="35" spans="1:12">
      <c r="A35">
        <v>21</v>
      </c>
      <c r="B35">
        <f t="shared" si="4"/>
        <v>2097152</v>
      </c>
      <c r="C35">
        <v>6167.3</v>
      </c>
      <c r="D35">
        <v>38658</v>
      </c>
      <c r="E35">
        <v>22387</v>
      </c>
      <c r="F35">
        <f t="shared" si="5"/>
        <v>61045</v>
      </c>
      <c r="G35">
        <v>1.6425000000000001</v>
      </c>
      <c r="H35">
        <v>0.29099999999999998</v>
      </c>
      <c r="I35">
        <f t="shared" si="6"/>
        <v>1.9335</v>
      </c>
      <c r="J35">
        <v>192</v>
      </c>
      <c r="K35">
        <v>55.728000000000002</v>
      </c>
      <c r="L35">
        <f t="shared" si="7"/>
        <v>247.72800000000001</v>
      </c>
    </row>
    <row r="36" spans="1:12">
      <c r="A36">
        <v>22</v>
      </c>
      <c r="B36">
        <f t="shared" si="4"/>
        <v>4194304</v>
      </c>
      <c r="C36">
        <v>12436</v>
      </c>
      <c r="D36">
        <v>77752</v>
      </c>
      <c r="E36">
        <v>45581</v>
      </c>
      <c r="F36">
        <f t="shared" si="5"/>
        <v>123333</v>
      </c>
      <c r="G36">
        <v>1.8047</v>
      </c>
      <c r="H36">
        <v>0.30499999999999999</v>
      </c>
      <c r="I36">
        <f t="shared" si="6"/>
        <v>2.1097000000000001</v>
      </c>
      <c r="J36">
        <v>213</v>
      </c>
      <c r="K36">
        <v>61.008000000000003</v>
      </c>
      <c r="L36">
        <f t="shared" si="7"/>
        <v>274.00799999999998</v>
      </c>
    </row>
    <row r="37" spans="1:12">
      <c r="A37">
        <v>23</v>
      </c>
      <c r="B37">
        <f t="shared" si="4"/>
        <v>8388608</v>
      </c>
      <c r="C37">
        <v>24663</v>
      </c>
      <c r="E37" t="s">
        <v>27</v>
      </c>
    </row>
    <row r="38" spans="1:12">
      <c r="A38">
        <v>24</v>
      </c>
      <c r="B38">
        <f t="shared" si="4"/>
        <v>16777216</v>
      </c>
      <c r="C38">
        <v>50293</v>
      </c>
    </row>
    <row r="39" spans="1:12">
      <c r="A39">
        <v>25</v>
      </c>
      <c r="B39">
        <f t="shared" si="4"/>
        <v>33554432</v>
      </c>
      <c r="C39" t="s">
        <v>27</v>
      </c>
    </row>
  </sheetData>
  <mergeCells count="7">
    <mergeCell ref="C30:G30"/>
    <mergeCell ref="C1:E1"/>
    <mergeCell ref="C10:E10"/>
    <mergeCell ref="C19:E19"/>
    <mergeCell ref="L1:N1"/>
    <mergeCell ref="L10:N10"/>
    <mergeCell ref="L19:N19"/>
  </mergeCells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A704-6DF1-4978-88E4-BDBC91EEA802}">
  <dimension ref="A1:R16"/>
  <sheetViews>
    <sheetView workbookViewId="0">
      <selection activeCell="R16" sqref="R16"/>
    </sheetView>
  </sheetViews>
  <sheetFormatPr baseColWidth="10" defaultColWidth="8.83203125" defaultRowHeight="15"/>
  <sheetData>
    <row r="1" spans="1:18">
      <c r="A1" t="s">
        <v>92</v>
      </c>
      <c r="C1" t="s">
        <v>93</v>
      </c>
      <c r="K1" t="s">
        <v>94</v>
      </c>
      <c r="M1" t="s">
        <v>93</v>
      </c>
    </row>
    <row r="2" spans="1:18">
      <c r="A2" t="s">
        <v>4</v>
      </c>
      <c r="B2" t="s">
        <v>95</v>
      </c>
      <c r="C2" t="s">
        <v>96</v>
      </c>
      <c r="D2" t="s">
        <v>97</v>
      </c>
      <c r="E2" t="s">
        <v>1</v>
      </c>
      <c r="F2" t="s">
        <v>3</v>
      </c>
      <c r="G2" t="s">
        <v>98</v>
      </c>
      <c r="H2" t="s">
        <v>99</v>
      </c>
      <c r="K2" t="s">
        <v>4</v>
      </c>
      <c r="L2" t="s">
        <v>95</v>
      </c>
      <c r="M2" t="s">
        <v>96</v>
      </c>
      <c r="N2" t="s">
        <v>97</v>
      </c>
      <c r="O2" t="s">
        <v>1</v>
      </c>
      <c r="P2" t="s">
        <v>3</v>
      </c>
      <c r="Q2" t="s">
        <v>98</v>
      </c>
      <c r="R2" t="s">
        <v>99</v>
      </c>
    </row>
    <row r="3" spans="1:18">
      <c r="A3">
        <v>18</v>
      </c>
      <c r="B3">
        <v>304</v>
      </c>
      <c r="C3">
        <v>245</v>
      </c>
      <c r="D3">
        <v>643</v>
      </c>
      <c r="E3">
        <v>32</v>
      </c>
      <c r="F3">
        <v>44</v>
      </c>
      <c r="G3">
        <v>888</v>
      </c>
      <c r="H3">
        <v>41</v>
      </c>
      <c r="K3">
        <v>18</v>
      </c>
      <c r="L3">
        <v>608</v>
      </c>
      <c r="M3">
        <v>355</v>
      </c>
      <c r="N3">
        <v>921</v>
      </c>
      <c r="O3">
        <v>37</v>
      </c>
      <c r="P3">
        <v>48</v>
      </c>
      <c r="Q3">
        <v>1276</v>
      </c>
      <c r="R3">
        <v>256</v>
      </c>
    </row>
    <row r="4" spans="1:18">
      <c r="A4">
        <v>19</v>
      </c>
      <c r="B4">
        <v>304</v>
      </c>
      <c r="C4">
        <v>465</v>
      </c>
      <c r="D4">
        <v>851</v>
      </c>
      <c r="E4">
        <v>34</v>
      </c>
      <c r="F4">
        <v>44</v>
      </c>
      <c r="G4">
        <v>1316</v>
      </c>
      <c r="H4">
        <v>41</v>
      </c>
      <c r="K4">
        <v>19</v>
      </c>
      <c r="L4">
        <v>608</v>
      </c>
      <c r="M4">
        <v>571</v>
      </c>
      <c r="N4">
        <v>997</v>
      </c>
      <c r="O4">
        <v>36</v>
      </c>
      <c r="P4">
        <v>48</v>
      </c>
      <c r="Q4">
        <v>1568</v>
      </c>
      <c r="R4">
        <v>256</v>
      </c>
    </row>
    <row r="5" spans="1:18">
      <c r="A5">
        <v>20</v>
      </c>
      <c r="B5">
        <v>608</v>
      </c>
      <c r="C5">
        <v>704</v>
      </c>
      <c r="D5">
        <v>1137</v>
      </c>
      <c r="E5">
        <v>36</v>
      </c>
      <c r="F5">
        <v>48</v>
      </c>
      <c r="G5">
        <v>1841</v>
      </c>
      <c r="H5">
        <v>45</v>
      </c>
      <c r="K5">
        <v>20</v>
      </c>
      <c r="L5">
        <v>1216</v>
      </c>
      <c r="M5">
        <v>869</v>
      </c>
      <c r="N5">
        <v>1449</v>
      </c>
      <c r="O5">
        <v>39</v>
      </c>
      <c r="P5">
        <v>52</v>
      </c>
      <c r="Q5">
        <v>2318</v>
      </c>
      <c r="R5">
        <v>286</v>
      </c>
    </row>
    <row r="6" spans="1:18">
      <c r="A6">
        <v>21</v>
      </c>
      <c r="B6">
        <v>608</v>
      </c>
      <c r="C6">
        <v>1397</v>
      </c>
      <c r="D6">
        <v>1558</v>
      </c>
      <c r="E6">
        <v>40</v>
      </c>
      <c r="F6">
        <v>48</v>
      </c>
      <c r="G6">
        <v>2955</v>
      </c>
      <c r="H6">
        <v>45</v>
      </c>
      <c r="K6">
        <v>21</v>
      </c>
      <c r="L6">
        <v>1216</v>
      </c>
      <c r="M6">
        <v>1649</v>
      </c>
      <c r="N6">
        <v>1676</v>
      </c>
      <c r="O6">
        <v>40</v>
      </c>
      <c r="P6">
        <v>52</v>
      </c>
      <c r="Q6">
        <v>3325</v>
      </c>
      <c r="R6">
        <v>286</v>
      </c>
    </row>
    <row r="7" spans="1:18">
      <c r="A7">
        <v>22</v>
      </c>
      <c r="B7">
        <v>1216</v>
      </c>
      <c r="C7">
        <v>2363</v>
      </c>
      <c r="D7">
        <v>2166</v>
      </c>
      <c r="E7">
        <v>49</v>
      </c>
      <c r="F7">
        <v>52</v>
      </c>
      <c r="G7">
        <v>4529</v>
      </c>
      <c r="H7">
        <v>49</v>
      </c>
      <c r="K7">
        <v>22</v>
      </c>
      <c r="L7">
        <v>2432</v>
      </c>
      <c r="M7">
        <v>2624</v>
      </c>
      <c r="N7">
        <v>2330</v>
      </c>
      <c r="O7">
        <v>49</v>
      </c>
      <c r="P7">
        <v>56</v>
      </c>
      <c r="Q7">
        <v>4954</v>
      </c>
      <c r="R7">
        <v>316</v>
      </c>
    </row>
    <row r="10" spans="1:18">
      <c r="A10" t="s">
        <v>100</v>
      </c>
      <c r="C10" t="s">
        <v>93</v>
      </c>
      <c r="K10" t="s">
        <v>101</v>
      </c>
      <c r="M10" t="s">
        <v>93</v>
      </c>
    </row>
    <row r="11" spans="1:18">
      <c r="A11" t="s">
        <v>4</v>
      </c>
      <c r="B11" t="s">
        <v>95</v>
      </c>
      <c r="C11" t="s">
        <v>96</v>
      </c>
      <c r="D11" t="s">
        <v>97</v>
      </c>
      <c r="E11" t="s">
        <v>1</v>
      </c>
      <c r="F11" t="s">
        <v>3</v>
      </c>
      <c r="G11" t="s">
        <v>98</v>
      </c>
      <c r="H11" t="s">
        <v>99</v>
      </c>
      <c r="K11" t="s">
        <v>4</v>
      </c>
      <c r="L11" t="s">
        <v>95</v>
      </c>
      <c r="M11" t="s">
        <v>96</v>
      </c>
      <c r="N11" t="s">
        <v>97</v>
      </c>
      <c r="O11" t="s">
        <v>1</v>
      </c>
      <c r="P11" t="s">
        <v>3</v>
      </c>
      <c r="Q11" t="s">
        <v>98</v>
      </c>
      <c r="R11" t="s">
        <v>99</v>
      </c>
    </row>
    <row r="12" spans="1:18">
      <c r="A12">
        <v>18</v>
      </c>
      <c r="B12">
        <v>304</v>
      </c>
      <c r="C12">
        <v>289</v>
      </c>
      <c r="D12">
        <v>633</v>
      </c>
      <c r="E12">
        <v>38</v>
      </c>
      <c r="F12">
        <v>45.2</v>
      </c>
      <c r="G12">
        <v>922</v>
      </c>
      <c r="H12">
        <v>110</v>
      </c>
      <c r="K12">
        <v>18</v>
      </c>
      <c r="L12">
        <v>608</v>
      </c>
      <c r="M12">
        <v>497</v>
      </c>
      <c r="N12">
        <v>1242</v>
      </c>
      <c r="O12">
        <v>36</v>
      </c>
      <c r="P12">
        <v>48</v>
      </c>
      <c r="Q12">
        <v>1739</v>
      </c>
      <c r="R12">
        <v>485</v>
      </c>
    </row>
    <row r="13" spans="1:18">
      <c r="A13">
        <v>19</v>
      </c>
      <c r="B13">
        <v>608</v>
      </c>
      <c r="C13">
        <v>438</v>
      </c>
      <c r="D13">
        <v>909</v>
      </c>
      <c r="E13">
        <v>39</v>
      </c>
      <c r="F13">
        <v>48</v>
      </c>
      <c r="G13">
        <v>1347</v>
      </c>
      <c r="H13">
        <v>123</v>
      </c>
      <c r="K13">
        <v>19</v>
      </c>
      <c r="L13">
        <v>1216</v>
      </c>
      <c r="M13">
        <v>789</v>
      </c>
      <c r="N13">
        <v>1689</v>
      </c>
      <c r="O13">
        <v>40</v>
      </c>
      <c r="P13">
        <v>52</v>
      </c>
      <c r="Q13">
        <v>2478</v>
      </c>
      <c r="R13">
        <v>549</v>
      </c>
    </row>
    <row r="14" spans="1:18">
      <c r="A14">
        <v>20</v>
      </c>
      <c r="B14">
        <v>608</v>
      </c>
      <c r="C14">
        <v>818</v>
      </c>
      <c r="D14">
        <v>1082</v>
      </c>
      <c r="E14">
        <v>35</v>
      </c>
      <c r="F14">
        <v>48</v>
      </c>
      <c r="G14">
        <v>1900</v>
      </c>
      <c r="H14">
        <v>123</v>
      </c>
      <c r="K14">
        <v>20</v>
      </c>
      <c r="L14">
        <v>1216</v>
      </c>
      <c r="M14">
        <v>1155</v>
      </c>
      <c r="N14">
        <v>1789</v>
      </c>
      <c r="O14">
        <v>37</v>
      </c>
      <c r="P14">
        <v>52</v>
      </c>
      <c r="Q14">
        <v>2944</v>
      </c>
      <c r="R14">
        <v>549</v>
      </c>
    </row>
    <row r="15" spans="1:18">
      <c r="A15">
        <v>21</v>
      </c>
      <c r="B15">
        <v>1216</v>
      </c>
      <c r="C15">
        <v>1313</v>
      </c>
      <c r="D15">
        <v>1501</v>
      </c>
      <c r="E15">
        <v>38</v>
      </c>
      <c r="F15">
        <v>52</v>
      </c>
      <c r="G15">
        <v>2814</v>
      </c>
      <c r="H15">
        <v>135</v>
      </c>
      <c r="K15">
        <v>21</v>
      </c>
      <c r="L15">
        <v>2432</v>
      </c>
      <c r="M15">
        <v>1717</v>
      </c>
      <c r="N15">
        <v>2524</v>
      </c>
      <c r="O15">
        <v>42</v>
      </c>
      <c r="P15">
        <v>56</v>
      </c>
      <c r="Q15">
        <v>4241</v>
      </c>
      <c r="R15">
        <v>614</v>
      </c>
    </row>
    <row r="16" spans="1:18">
      <c r="A16">
        <v>22</v>
      </c>
      <c r="B16">
        <v>1216</v>
      </c>
      <c r="C16">
        <v>2621</v>
      </c>
      <c r="D16">
        <v>1924</v>
      </c>
      <c r="E16">
        <v>37</v>
      </c>
      <c r="F16">
        <v>52</v>
      </c>
      <c r="G16">
        <v>4545</v>
      </c>
      <c r="H16">
        <v>135</v>
      </c>
      <c r="K16">
        <v>22</v>
      </c>
      <c r="L16">
        <v>2432</v>
      </c>
      <c r="M16">
        <v>3625</v>
      </c>
      <c r="N16">
        <v>2818</v>
      </c>
      <c r="O16">
        <v>46</v>
      </c>
      <c r="P16">
        <v>56</v>
      </c>
      <c r="Q16">
        <v>6443</v>
      </c>
      <c r="R16">
        <v>614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2EEE-718D-4C96-8910-3CE3EC90B704}">
  <dimension ref="A1:S19"/>
  <sheetViews>
    <sheetView zoomScaleNormal="100" workbookViewId="0">
      <selection activeCell="U18" sqref="U18:U19"/>
    </sheetView>
  </sheetViews>
  <sheetFormatPr baseColWidth="10" defaultColWidth="8.6640625" defaultRowHeight="15"/>
  <cols>
    <col min="18" max="18" width="14.33203125" customWidth="1"/>
  </cols>
  <sheetData>
    <row r="1" spans="1:19">
      <c r="A1" t="s">
        <v>58</v>
      </c>
      <c r="C1" t="s">
        <v>83</v>
      </c>
      <c r="K1" t="s">
        <v>60</v>
      </c>
      <c r="M1" s="9" t="s">
        <v>82</v>
      </c>
      <c r="N1" s="9"/>
      <c r="O1" s="9"/>
    </row>
    <row r="2" spans="1:19">
      <c r="A2" t="s">
        <v>4</v>
      </c>
      <c r="B2" t="s">
        <v>90</v>
      </c>
      <c r="C2" t="s">
        <v>5</v>
      </c>
      <c r="D2" t="s">
        <v>56</v>
      </c>
      <c r="E2" t="s">
        <v>1</v>
      </c>
      <c r="F2" t="s">
        <v>3</v>
      </c>
      <c r="G2" t="s">
        <v>14</v>
      </c>
      <c r="H2" t="s">
        <v>85</v>
      </c>
      <c r="I2" t="s">
        <v>91</v>
      </c>
      <c r="K2" t="s">
        <v>4</v>
      </c>
      <c r="L2" t="s">
        <v>84</v>
      </c>
      <c r="M2" t="s">
        <v>5</v>
      </c>
      <c r="N2" t="s">
        <v>56</v>
      </c>
      <c r="O2" t="s">
        <v>1</v>
      </c>
      <c r="P2" t="s">
        <v>3</v>
      </c>
      <c r="Q2" t="s">
        <v>14</v>
      </c>
      <c r="R2" t="s">
        <v>88</v>
      </c>
      <c r="S2" t="s">
        <v>89</v>
      </c>
    </row>
    <row r="3" spans="1:19">
      <c r="A3">
        <v>18</v>
      </c>
      <c r="B3">
        <v>26624</v>
      </c>
      <c r="C3">
        <v>2772</v>
      </c>
      <c r="D3">
        <v>2970</v>
      </c>
      <c r="E3">
        <v>18</v>
      </c>
      <c r="F3">
        <v>1.8720000000000001</v>
      </c>
      <c r="G3">
        <f>C3+D3</f>
        <v>5742</v>
      </c>
      <c r="H3">
        <v>3740</v>
      </c>
      <c r="I3">
        <f t="shared" ref="I3:I6" si="0">H3/2/1024</f>
        <v>1.826171875</v>
      </c>
      <c r="K3">
        <v>18</v>
      </c>
      <c r="L3">
        <v>26624</v>
      </c>
      <c r="M3">
        <v>738</v>
      </c>
      <c r="N3">
        <v>862</v>
      </c>
      <c r="O3">
        <v>18</v>
      </c>
      <c r="P3">
        <v>1.8720000000000001</v>
      </c>
      <c r="Q3">
        <f>M3+N3</f>
        <v>1600</v>
      </c>
      <c r="R3">
        <v>57920</v>
      </c>
      <c r="S3">
        <f>R3/5/1024/8</f>
        <v>1.4140625</v>
      </c>
    </row>
    <row r="4" spans="1:19">
      <c r="A4">
        <v>19</v>
      </c>
      <c r="B4">
        <v>53248</v>
      </c>
      <c r="C4">
        <v>5235</v>
      </c>
      <c r="D4">
        <v>5740</v>
      </c>
      <c r="E4">
        <v>19</v>
      </c>
      <c r="F4">
        <v>1.976</v>
      </c>
      <c r="G4">
        <f>C4+D4</f>
        <v>10975</v>
      </c>
      <c r="H4">
        <v>3932</v>
      </c>
      <c r="I4">
        <f t="shared" si="0"/>
        <v>1.919921875</v>
      </c>
      <c r="K4">
        <v>19</v>
      </c>
      <c r="L4">
        <v>53248</v>
      </c>
      <c r="M4">
        <v>1382</v>
      </c>
      <c r="N4">
        <v>1603</v>
      </c>
      <c r="O4">
        <v>19</v>
      </c>
      <c r="P4">
        <v>1.976</v>
      </c>
      <c r="Q4">
        <f>M4+N4</f>
        <v>2985</v>
      </c>
      <c r="R4">
        <v>61280</v>
      </c>
      <c r="S4">
        <f t="shared" ref="S4:S7" si="1">R4/5/1024/8</f>
        <v>1.49609375</v>
      </c>
    </row>
    <row r="5" spans="1:19">
      <c r="A5">
        <v>20</v>
      </c>
      <c r="B5">
        <v>106496</v>
      </c>
      <c r="C5">
        <v>9901</v>
      </c>
      <c r="D5">
        <v>10957</v>
      </c>
      <c r="E5">
        <v>20</v>
      </c>
      <c r="F5">
        <v>2.08</v>
      </c>
      <c r="G5">
        <f>C5+D5</f>
        <v>20858</v>
      </c>
      <c r="H5">
        <v>4124</v>
      </c>
      <c r="I5">
        <f t="shared" si="0"/>
        <v>2.013671875</v>
      </c>
      <c r="K5">
        <v>20</v>
      </c>
      <c r="L5">
        <v>106496</v>
      </c>
      <c r="M5">
        <v>2778</v>
      </c>
      <c r="N5">
        <v>2970</v>
      </c>
      <c r="O5">
        <v>20</v>
      </c>
      <c r="P5">
        <v>2.08</v>
      </c>
      <c r="Q5">
        <f>M5+N5</f>
        <v>5748</v>
      </c>
      <c r="R5">
        <v>64640</v>
      </c>
      <c r="S5">
        <f t="shared" si="1"/>
        <v>1.578125</v>
      </c>
    </row>
    <row r="6" spans="1:19">
      <c r="A6">
        <v>21</v>
      </c>
      <c r="B6">
        <v>212992</v>
      </c>
      <c r="C6">
        <v>16223</v>
      </c>
      <c r="D6">
        <v>20789</v>
      </c>
      <c r="E6">
        <v>20</v>
      </c>
      <c r="F6">
        <v>2.1840000000000002</v>
      </c>
      <c r="G6">
        <f>C6+D6</f>
        <v>37012</v>
      </c>
      <c r="H6">
        <v>4316</v>
      </c>
      <c r="I6">
        <f t="shared" si="0"/>
        <v>2.107421875</v>
      </c>
      <c r="K6">
        <v>21</v>
      </c>
      <c r="L6">
        <v>212992</v>
      </c>
      <c r="M6">
        <v>5256</v>
      </c>
      <c r="N6">
        <v>5746</v>
      </c>
      <c r="O6">
        <v>20</v>
      </c>
      <c r="P6">
        <v>2.1840000000000002</v>
      </c>
      <c r="Q6">
        <f>M6+N6</f>
        <v>11002</v>
      </c>
      <c r="R6">
        <v>68000</v>
      </c>
      <c r="S6">
        <f t="shared" si="1"/>
        <v>1.66015625</v>
      </c>
    </row>
    <row r="7" spans="1:19">
      <c r="A7">
        <v>22</v>
      </c>
      <c r="B7">
        <v>425984</v>
      </c>
      <c r="C7">
        <v>29487</v>
      </c>
      <c r="D7">
        <v>37067</v>
      </c>
      <c r="E7">
        <v>21</v>
      </c>
      <c r="F7">
        <v>2.2879999999999998</v>
      </c>
      <c r="G7">
        <f>C7+D7</f>
        <v>66554</v>
      </c>
      <c r="H7">
        <v>4508</v>
      </c>
      <c r="I7">
        <f>H7/2/1024</f>
        <v>2.201171875</v>
      </c>
      <c r="K7">
        <v>22</v>
      </c>
      <c r="L7">
        <v>425984</v>
      </c>
      <c r="M7">
        <v>9976</v>
      </c>
      <c r="N7">
        <v>10990</v>
      </c>
      <c r="O7">
        <v>21</v>
      </c>
      <c r="P7">
        <v>2.2879999999999998</v>
      </c>
      <c r="Q7">
        <f>M7+N7</f>
        <v>20966</v>
      </c>
      <c r="R7">
        <v>71360</v>
      </c>
      <c r="S7">
        <f t="shared" si="1"/>
        <v>1.7421875</v>
      </c>
    </row>
    <row r="10" spans="1:19">
      <c r="A10" t="s">
        <v>59</v>
      </c>
      <c r="C10" s="9" t="s">
        <v>82</v>
      </c>
      <c r="D10" s="9"/>
      <c r="E10" s="9"/>
      <c r="K10" t="s">
        <v>61</v>
      </c>
      <c r="M10" s="9" t="s">
        <v>82</v>
      </c>
      <c r="N10" s="9"/>
      <c r="O10" s="9"/>
    </row>
    <row r="11" spans="1:19">
      <c r="A11" t="s">
        <v>4</v>
      </c>
      <c r="B11" t="s">
        <v>84</v>
      </c>
      <c r="C11" t="s">
        <v>5</v>
      </c>
      <c r="D11" t="s">
        <v>56</v>
      </c>
      <c r="E11" t="s">
        <v>1</v>
      </c>
      <c r="F11" t="s">
        <v>3</v>
      </c>
      <c r="G11" t="s">
        <v>14</v>
      </c>
      <c r="H11" t="s">
        <v>86</v>
      </c>
      <c r="I11" t="s">
        <v>87</v>
      </c>
      <c r="K11" t="s">
        <v>4</v>
      </c>
      <c r="L11" t="s">
        <v>84</v>
      </c>
      <c r="M11" t="s">
        <v>5</v>
      </c>
      <c r="N11" t="s">
        <v>56</v>
      </c>
      <c r="O11" t="s">
        <v>1</v>
      </c>
      <c r="P11" t="s">
        <v>3</v>
      </c>
      <c r="Q11" t="s">
        <v>14</v>
      </c>
      <c r="R11" t="s">
        <v>81</v>
      </c>
      <c r="S11" t="s">
        <v>89</v>
      </c>
    </row>
    <row r="12" spans="1:19">
      <c r="A12">
        <v>18</v>
      </c>
      <c r="B12">
        <v>26624</v>
      </c>
      <c r="C12">
        <v>1359</v>
      </c>
      <c r="D12">
        <v>1602</v>
      </c>
      <c r="E12">
        <v>18</v>
      </c>
      <c r="F12">
        <v>1.8720000000000001</v>
      </c>
      <c r="G12">
        <f t="shared" ref="G12:G16" si="2">C12+D12</f>
        <v>2961</v>
      </c>
      <c r="H12">
        <v>26340</v>
      </c>
      <c r="I12">
        <f>H12/5/1024/4</f>
        <v>1.2861328125</v>
      </c>
      <c r="K12">
        <v>18</v>
      </c>
      <c r="L12">
        <v>26624</v>
      </c>
      <c r="M12">
        <v>383</v>
      </c>
      <c r="N12">
        <v>487</v>
      </c>
      <c r="O12">
        <v>18</v>
      </c>
      <c r="P12">
        <v>1.8720000000000001</v>
      </c>
      <c r="Q12">
        <f>M12+N12</f>
        <v>870</v>
      </c>
      <c r="R12">
        <v>116760</v>
      </c>
      <c r="S12">
        <f>R12/5/1024</f>
        <v>22.8046875</v>
      </c>
    </row>
    <row r="13" spans="1:19">
      <c r="A13">
        <v>19</v>
      </c>
      <c r="B13">
        <v>53248</v>
      </c>
      <c r="C13">
        <v>2777</v>
      </c>
      <c r="D13">
        <v>2970</v>
      </c>
      <c r="E13">
        <v>19</v>
      </c>
      <c r="F13">
        <v>1.976</v>
      </c>
      <c r="G13">
        <f t="shared" si="2"/>
        <v>5747</v>
      </c>
      <c r="H13">
        <v>27780</v>
      </c>
      <c r="I13">
        <f t="shared" ref="I13:I16" si="3">H13/5/1024</f>
        <v>5.42578125</v>
      </c>
      <c r="K13">
        <v>19</v>
      </c>
      <c r="L13">
        <v>53248</v>
      </c>
      <c r="M13">
        <v>748</v>
      </c>
      <c r="N13">
        <v>866</v>
      </c>
      <c r="O13">
        <v>19</v>
      </c>
      <c r="P13">
        <v>1.976</v>
      </c>
      <c r="Q13">
        <f>M13+N13</f>
        <v>1614</v>
      </c>
      <c r="R13">
        <v>123960</v>
      </c>
      <c r="S13">
        <f t="shared" ref="S13:S16" si="4">R13/5/1024</f>
        <v>24.2109375</v>
      </c>
    </row>
    <row r="14" spans="1:19">
      <c r="A14">
        <v>20</v>
      </c>
      <c r="B14">
        <v>106496</v>
      </c>
      <c r="C14">
        <v>5251</v>
      </c>
      <c r="D14">
        <v>5742</v>
      </c>
      <c r="E14">
        <v>20</v>
      </c>
      <c r="F14">
        <v>2.08</v>
      </c>
      <c r="G14">
        <f t="shared" si="2"/>
        <v>10993</v>
      </c>
      <c r="H14">
        <v>29220</v>
      </c>
      <c r="I14">
        <f t="shared" si="3"/>
        <v>5.70703125</v>
      </c>
      <c r="K14">
        <v>20</v>
      </c>
      <c r="L14">
        <v>106496</v>
      </c>
      <c r="M14">
        <v>1391</v>
      </c>
      <c r="N14">
        <v>1605</v>
      </c>
      <c r="O14">
        <v>20</v>
      </c>
      <c r="P14">
        <v>2.08</v>
      </c>
      <c r="Q14">
        <f>M14+N14</f>
        <v>2996</v>
      </c>
      <c r="R14">
        <v>131160</v>
      </c>
      <c r="S14">
        <f t="shared" si="4"/>
        <v>25.6171875</v>
      </c>
    </row>
    <row r="15" spans="1:19">
      <c r="A15">
        <v>21</v>
      </c>
      <c r="B15">
        <v>212992</v>
      </c>
      <c r="C15">
        <v>10000</v>
      </c>
      <c r="D15">
        <v>10982</v>
      </c>
      <c r="E15">
        <v>20</v>
      </c>
      <c r="F15">
        <v>2.1800000000000002</v>
      </c>
      <c r="G15">
        <f t="shared" si="2"/>
        <v>20982</v>
      </c>
      <c r="H15">
        <v>30660</v>
      </c>
      <c r="I15">
        <f t="shared" si="3"/>
        <v>5.98828125</v>
      </c>
      <c r="K15">
        <v>21</v>
      </c>
      <c r="L15">
        <v>212992</v>
      </c>
      <c r="M15">
        <v>3472</v>
      </c>
      <c r="N15">
        <v>3002</v>
      </c>
      <c r="O15">
        <v>20</v>
      </c>
      <c r="P15">
        <v>2.1840000000000002</v>
      </c>
      <c r="Q15">
        <f>M15+N15</f>
        <v>6474</v>
      </c>
      <c r="R15">
        <v>138360</v>
      </c>
      <c r="S15">
        <f t="shared" si="4"/>
        <v>27.0234375</v>
      </c>
    </row>
    <row r="16" spans="1:19">
      <c r="A16">
        <v>22</v>
      </c>
      <c r="B16">
        <v>425984</v>
      </c>
      <c r="C16">
        <v>16736</v>
      </c>
      <c r="D16">
        <v>20876</v>
      </c>
      <c r="E16">
        <v>21</v>
      </c>
      <c r="F16">
        <v>2.2879999999999998</v>
      </c>
      <c r="G16">
        <f t="shared" si="2"/>
        <v>37612</v>
      </c>
      <c r="H16">
        <v>32100</v>
      </c>
      <c r="I16">
        <f t="shared" si="3"/>
        <v>6.26953125</v>
      </c>
      <c r="K16">
        <v>22</v>
      </c>
      <c r="L16">
        <v>425984</v>
      </c>
      <c r="M16">
        <v>8566</v>
      </c>
      <c r="N16">
        <v>5757</v>
      </c>
      <c r="O16">
        <v>21</v>
      </c>
      <c r="P16">
        <v>2.2879999999999998</v>
      </c>
      <c r="Q16">
        <f>M16+N16</f>
        <v>14323</v>
      </c>
      <c r="R16">
        <v>145560</v>
      </c>
      <c r="S16">
        <f t="shared" si="4"/>
        <v>28.4296875</v>
      </c>
    </row>
    <row r="17" spans="1:15">
      <c r="A17">
        <v>23</v>
      </c>
      <c r="B17">
        <v>851968</v>
      </c>
    </row>
    <row r="19" spans="1:15">
      <c r="M19" s="9"/>
      <c r="N19" s="9"/>
      <c r="O19" s="9"/>
    </row>
  </sheetData>
  <mergeCells count="4">
    <mergeCell ref="M1:O1"/>
    <mergeCell ref="M10:O10"/>
    <mergeCell ref="C10:E10"/>
    <mergeCell ref="M19:O19"/>
  </mergeCells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B104-27FF-4E21-B4B0-84271688DE09}">
  <dimension ref="A1:S27"/>
  <sheetViews>
    <sheetView workbookViewId="0">
      <selection activeCell="Q3" sqref="Q3"/>
    </sheetView>
  </sheetViews>
  <sheetFormatPr baseColWidth="10" defaultColWidth="8.83203125" defaultRowHeight="15"/>
  <cols>
    <col min="1" max="3" width="8.6640625" style="4"/>
    <col min="4" max="4" width="13.5" style="4" customWidth="1"/>
    <col min="5" max="5" width="16" style="4" customWidth="1"/>
    <col min="6" max="6" width="14" style="4" customWidth="1"/>
    <col min="7" max="8" width="13.83203125" style="4" customWidth="1"/>
    <col min="9" max="9" width="17.6640625" style="4" customWidth="1"/>
    <col min="10" max="10" width="14.5" customWidth="1"/>
    <col min="11" max="11" width="11.83203125" customWidth="1"/>
    <col min="13" max="13" width="18.5" customWidth="1"/>
    <col min="14" max="14" width="23.1640625" customWidth="1"/>
    <col min="15" max="15" width="18.33203125" customWidth="1"/>
    <col min="16" max="16" width="17.6640625" customWidth="1"/>
  </cols>
  <sheetData>
    <row r="1" spans="1:19">
      <c r="A1" s="4" t="s">
        <v>62</v>
      </c>
      <c r="B1" s="4" t="s">
        <v>63</v>
      </c>
      <c r="C1" s="4" t="s">
        <v>64</v>
      </c>
      <c r="D1" s="4" t="s">
        <v>105</v>
      </c>
      <c r="E1" s="4" t="s">
        <v>106</v>
      </c>
      <c r="F1" s="4" t="s">
        <v>102</v>
      </c>
      <c r="G1" s="4" t="s">
        <v>104</v>
      </c>
      <c r="H1" s="4" t="s">
        <v>107</v>
      </c>
      <c r="I1" s="4" t="s">
        <v>108</v>
      </c>
      <c r="J1" s="4" t="s">
        <v>109</v>
      </c>
      <c r="K1" s="4" t="s">
        <v>110</v>
      </c>
      <c r="L1" s="4" t="s">
        <v>111</v>
      </c>
      <c r="M1" s="4" t="s">
        <v>113</v>
      </c>
      <c r="N1" s="4" t="s">
        <v>114</v>
      </c>
      <c r="O1" s="4" t="s">
        <v>119</v>
      </c>
      <c r="P1" s="4" t="s">
        <v>120</v>
      </c>
      <c r="Q1" s="4" t="s">
        <v>121</v>
      </c>
      <c r="R1" s="4" t="s">
        <v>125</v>
      </c>
      <c r="S1" s="4" t="s">
        <v>128</v>
      </c>
    </row>
    <row r="2" spans="1:19">
      <c r="F2" s="4" t="s">
        <v>103</v>
      </c>
      <c r="J2" t="s">
        <v>112</v>
      </c>
    </row>
    <row r="3" spans="1:19">
      <c r="A3" s="4">
        <v>16</v>
      </c>
      <c r="B3" s="4">
        <v>18</v>
      </c>
      <c r="C3" s="4" t="s">
        <v>66</v>
      </c>
      <c r="D3" s="4">
        <v>1337</v>
      </c>
      <c r="E3" s="4">
        <v>200.6015625</v>
      </c>
      <c r="F3" s="4">
        <f>570+282+249</f>
        <v>1101</v>
      </c>
      <c r="G3" s="4">
        <f>3.0703125+1.078125+ 13.96875</f>
        <v>18.1171875</v>
      </c>
      <c r="H3" s="4">
        <f t="shared" ref="H3:H24" si="0">D3-F3</f>
        <v>236</v>
      </c>
      <c r="I3" s="4">
        <f t="shared" ref="I3:I24" si="1">E3-G3</f>
        <v>182.484375</v>
      </c>
      <c r="J3">
        <v>14.086</v>
      </c>
      <c r="K3">
        <v>13.727</v>
      </c>
      <c r="L3">
        <f t="shared" ref="L3:L24" si="2">J3-K3</f>
        <v>0.35899999999999999</v>
      </c>
      <c r="M3">
        <f>de_pip_fri!L12*3+de_pip_fri!M12</f>
        <v>73</v>
      </c>
      <c r="N3">
        <f>de_pip_fri!R12*3+de_pip_fri!S12</f>
        <v>46181</v>
      </c>
      <c r="O3">
        <f>M3+H3</f>
        <v>309</v>
      </c>
      <c r="P3">
        <f>N3+I3</f>
        <v>46363.484375</v>
      </c>
      <c r="Q3">
        <f>L3+de_pip_fri!N12</f>
        <v>2.16</v>
      </c>
      <c r="R3">
        <f>P3/16</f>
        <v>2897.7177734375</v>
      </c>
    </row>
    <row r="4" spans="1:19">
      <c r="A4" s="4">
        <v>16</v>
      </c>
      <c r="B4" s="4">
        <v>19</v>
      </c>
      <c r="C4" s="4" t="s">
        <v>65</v>
      </c>
      <c r="D4" s="4">
        <v>2424</v>
      </c>
      <c r="E4" s="4">
        <v>213.5390625</v>
      </c>
      <c r="F4" s="4">
        <f>1135+387+442</f>
        <v>1964</v>
      </c>
      <c r="G4" s="4">
        <f>3.0703125+1.078125+14.90625</f>
        <v>19.0546875</v>
      </c>
      <c r="H4" s="4">
        <f t="shared" si="0"/>
        <v>460</v>
      </c>
      <c r="I4" s="4">
        <f t="shared" si="1"/>
        <v>194.484375</v>
      </c>
      <c r="J4">
        <v>14.507</v>
      </c>
      <c r="K4">
        <v>14.138999999999999</v>
      </c>
      <c r="L4">
        <f t="shared" si="2"/>
        <v>0.36800000000000033</v>
      </c>
      <c r="M4">
        <f>de_pip_fri!L13*3+de_pip_fri!M13</f>
        <v>149</v>
      </c>
      <c r="N4">
        <f>de_pip_fri!R13*3+de_pip_fri!S13</f>
        <v>92140</v>
      </c>
      <c r="O4">
        <f t="shared" ref="O4:O8" si="3">M4+H4</f>
        <v>609</v>
      </c>
      <c r="P4">
        <f t="shared" ref="P4:P8" si="4">N4+I4</f>
        <v>92334.484375</v>
      </c>
      <c r="Q4">
        <f>L4+de_pip_fri!N13</f>
        <v>2.4500000000000002</v>
      </c>
      <c r="R4">
        <f t="shared" ref="R4:R8" si="5">P4/16</f>
        <v>5770.9052734375</v>
      </c>
    </row>
    <row r="5" spans="1:19">
      <c r="A5" s="4">
        <v>16</v>
      </c>
      <c r="B5" s="4">
        <v>20</v>
      </c>
      <c r="C5" s="4" t="s">
        <v>65</v>
      </c>
      <c r="D5" s="4">
        <v>4490</v>
      </c>
      <c r="E5" s="4">
        <v>226.4765625</v>
      </c>
      <c r="F5" s="4">
        <f>2058+713+822</f>
        <v>3593</v>
      </c>
      <c r="G5" s="4">
        <f>3.0703125+1.078125+15.84375</f>
        <v>19.9921875</v>
      </c>
      <c r="H5" s="4">
        <f t="shared" si="0"/>
        <v>897</v>
      </c>
      <c r="I5" s="4">
        <f t="shared" si="1"/>
        <v>206.484375</v>
      </c>
      <c r="J5">
        <v>14.919</v>
      </c>
      <c r="K5">
        <v>14.57</v>
      </c>
      <c r="L5">
        <f t="shared" si="2"/>
        <v>0.3490000000000002</v>
      </c>
      <c r="M5">
        <f>de_pip_fri!L14*3+de_pip_fri!M14</f>
        <v>280.8</v>
      </c>
      <c r="N5">
        <f>de_pip_fri!R14*3+de_pip_fri!S14</f>
        <v>184041</v>
      </c>
      <c r="O5">
        <f t="shared" si="3"/>
        <v>1177.8</v>
      </c>
      <c r="P5">
        <f t="shared" si="4"/>
        <v>184247.484375</v>
      </c>
      <c r="Q5">
        <f>L5+de_pip_fri!N14</f>
        <v>2.863</v>
      </c>
      <c r="R5">
        <f t="shared" si="5"/>
        <v>11515.4677734375</v>
      </c>
    </row>
    <row r="6" spans="1:19">
      <c r="A6" s="4">
        <v>16</v>
      </c>
      <c r="B6" s="4">
        <v>21</v>
      </c>
      <c r="C6" s="4" t="s">
        <v>65</v>
      </c>
      <c r="D6" s="4">
        <v>9224</v>
      </c>
      <c r="E6" s="4">
        <v>239.4140625</v>
      </c>
      <c r="F6" s="4">
        <f>4406+1528+1509</f>
        <v>7443</v>
      </c>
      <c r="G6" s="4">
        <f xml:space="preserve"> 3.0703125+1.078125 +16.78125</f>
        <v>20.9296875</v>
      </c>
      <c r="H6" s="4">
        <f t="shared" si="0"/>
        <v>1781</v>
      </c>
      <c r="I6" s="4">
        <f t="shared" si="1"/>
        <v>218.484375</v>
      </c>
      <c r="J6">
        <v>15.603999999999999</v>
      </c>
      <c r="K6">
        <v>15.202999999999999</v>
      </c>
      <c r="L6">
        <f t="shared" si="2"/>
        <v>0.4009999999999998</v>
      </c>
      <c r="M6">
        <f>de_pip_fri!L15*3+de_pip_fri!M15</f>
        <v>530.79999999999995</v>
      </c>
      <c r="N6">
        <f>de_pip_fri!R15*3+de_pip_fri!S15</f>
        <v>367813</v>
      </c>
      <c r="O6">
        <f t="shared" si="3"/>
        <v>2311.8000000000002</v>
      </c>
      <c r="P6">
        <f t="shared" si="4"/>
        <v>368031.484375</v>
      </c>
      <c r="Q6">
        <f>L6+de_pip_fri!N15</f>
        <v>3.0839999999999996</v>
      </c>
      <c r="R6">
        <f t="shared" si="5"/>
        <v>23001.9677734375</v>
      </c>
    </row>
    <row r="7" spans="1:19">
      <c r="A7" s="4">
        <v>16</v>
      </c>
      <c r="B7" s="4">
        <v>22</v>
      </c>
      <c r="C7" s="4" t="s">
        <v>65</v>
      </c>
      <c r="D7" s="4">
        <v>18200</v>
      </c>
      <c r="E7" s="4">
        <v>252.3515625</v>
      </c>
      <c r="F7" s="4">
        <f>7995+2750+2921</f>
        <v>13666</v>
      </c>
      <c r="G7" s="4">
        <f>3.0703125+1.078125+17.71875</f>
        <v>21.8671875</v>
      </c>
      <c r="H7" s="4">
        <f t="shared" si="0"/>
        <v>4534</v>
      </c>
      <c r="I7" s="4">
        <f t="shared" si="1"/>
        <v>230.484375</v>
      </c>
      <c r="J7">
        <v>17.277999999999999</v>
      </c>
      <c r="K7">
        <v>16.893000000000001</v>
      </c>
      <c r="L7">
        <f t="shared" si="2"/>
        <v>0.38499999999999801</v>
      </c>
      <c r="M7">
        <f>de_pip_fri!L16*3+de_pip_fri!M16</f>
        <v>983</v>
      </c>
      <c r="N7">
        <f>de_pip_fri!R16*3+de_pip_fri!S16</f>
        <v>735342</v>
      </c>
      <c r="O7">
        <f t="shared" si="3"/>
        <v>5517</v>
      </c>
      <c r="P7">
        <f t="shared" si="4"/>
        <v>735572.484375</v>
      </c>
      <c r="Q7">
        <f>L7+de_pip_fri!N16</f>
        <v>3.2939999999999978</v>
      </c>
      <c r="R7">
        <f t="shared" si="5"/>
        <v>45973.2802734375</v>
      </c>
      <c r="S7">
        <f>10.7-de_demkzg!P16</f>
        <v>8.411999999999999</v>
      </c>
    </row>
    <row r="8" spans="1:19">
      <c r="A8" s="4">
        <v>16</v>
      </c>
      <c r="B8" s="4">
        <v>23</v>
      </c>
      <c r="C8" s="4" t="s">
        <v>65</v>
      </c>
      <c r="D8" s="4">
        <f>F8+H8</f>
        <v>33866</v>
      </c>
      <c r="E8" s="4">
        <f>E7+12.9</f>
        <v>265.25156249999998</v>
      </c>
      <c r="F8" s="4">
        <f>13666*2</f>
        <v>27332</v>
      </c>
      <c r="G8" s="4">
        <f>G7+0.96</f>
        <v>22.827187500000001</v>
      </c>
      <c r="H8" s="4">
        <f>3267*2</f>
        <v>6534</v>
      </c>
      <c r="I8" s="4">
        <f>I7+12</f>
        <v>242.484375</v>
      </c>
      <c r="J8">
        <f>J7+1.2</f>
        <v>18.477999999999998</v>
      </c>
      <c r="K8">
        <f>K7+1.2</f>
        <v>18.093</v>
      </c>
      <c r="L8">
        <f t="shared" si="2"/>
        <v>0.38499999999999801</v>
      </c>
      <c r="M8">
        <f>de_pip_fri!L17*3+de_pip_fri!M17</f>
        <v>1863</v>
      </c>
      <c r="N8">
        <f>de_pip_fri!R17*3+de_pip_fri!S17</f>
        <v>1427940</v>
      </c>
      <c r="O8">
        <f t="shared" si="3"/>
        <v>8397</v>
      </c>
      <c r="P8">
        <f t="shared" si="4"/>
        <v>1428182.484375</v>
      </c>
      <c r="Q8">
        <f>L8+de_pip_fri!N17</f>
        <v>3.5849999999999982</v>
      </c>
      <c r="R8">
        <f t="shared" si="5"/>
        <v>89261.4052734375</v>
      </c>
      <c r="S8">
        <f>S7+0.4</f>
        <v>8.8119999999999994</v>
      </c>
    </row>
    <row r="9" spans="1:19">
      <c r="A9" s="4">
        <v>8</v>
      </c>
      <c r="B9" s="4">
        <v>18</v>
      </c>
      <c r="C9" s="4" t="s">
        <v>65</v>
      </c>
      <c r="H9" s="4">
        <f t="shared" si="0"/>
        <v>0</v>
      </c>
      <c r="I9" s="4">
        <f t="shared" si="1"/>
        <v>0</v>
      </c>
      <c r="L9">
        <f t="shared" si="2"/>
        <v>0</v>
      </c>
    </row>
    <row r="10" spans="1:19">
      <c r="A10" s="4">
        <v>8</v>
      </c>
      <c r="B10" s="4">
        <v>19</v>
      </c>
      <c r="C10" s="4" t="s">
        <v>65</v>
      </c>
      <c r="H10" s="4">
        <f t="shared" si="0"/>
        <v>0</v>
      </c>
      <c r="I10" s="4">
        <f t="shared" si="1"/>
        <v>0</v>
      </c>
      <c r="L10">
        <f t="shared" si="2"/>
        <v>0</v>
      </c>
    </row>
    <row r="11" spans="1:19">
      <c r="A11" s="4">
        <v>8</v>
      </c>
      <c r="B11" s="4">
        <v>20</v>
      </c>
      <c r="C11" s="4" t="s">
        <v>65</v>
      </c>
      <c r="H11" s="4">
        <f t="shared" si="0"/>
        <v>0</v>
      </c>
      <c r="I11" s="4">
        <f t="shared" si="1"/>
        <v>0</v>
      </c>
      <c r="L11">
        <f t="shared" si="2"/>
        <v>0</v>
      </c>
    </row>
    <row r="12" spans="1:19">
      <c r="A12" s="4">
        <v>8</v>
      </c>
      <c r="B12" s="4">
        <v>21</v>
      </c>
      <c r="C12" s="4" t="s">
        <v>65</v>
      </c>
      <c r="H12" s="4">
        <f t="shared" si="0"/>
        <v>0</v>
      </c>
      <c r="I12" s="4">
        <f t="shared" si="1"/>
        <v>0</v>
      </c>
      <c r="L12">
        <f t="shared" si="2"/>
        <v>0</v>
      </c>
    </row>
    <row r="13" spans="1:19">
      <c r="A13" s="4">
        <v>8</v>
      </c>
      <c r="B13" s="4">
        <v>22</v>
      </c>
      <c r="C13" s="4" t="s">
        <v>65</v>
      </c>
      <c r="H13" s="4">
        <f t="shared" si="0"/>
        <v>0</v>
      </c>
      <c r="I13" s="4">
        <f t="shared" si="1"/>
        <v>0</v>
      </c>
      <c r="L13">
        <f t="shared" si="2"/>
        <v>0</v>
      </c>
    </row>
    <row r="14" spans="1:19">
      <c r="A14" s="4">
        <v>4</v>
      </c>
      <c r="B14" s="4">
        <v>18</v>
      </c>
      <c r="C14" s="4" t="s">
        <v>65</v>
      </c>
      <c r="D14" s="4">
        <v>4440</v>
      </c>
      <c r="E14" s="4">
        <v>45.56</v>
      </c>
      <c r="F14" s="4">
        <f>2050+712+813</f>
        <v>3575</v>
      </c>
      <c r="G14" s="4">
        <f>0.62+0.22+3.17</f>
        <v>4.01</v>
      </c>
      <c r="H14" s="4">
        <f t="shared" si="0"/>
        <v>865</v>
      </c>
      <c r="I14" s="4">
        <f>E14-G14</f>
        <v>41.550000000000004</v>
      </c>
      <c r="J14">
        <v>13.573</v>
      </c>
      <c r="K14">
        <v>13.382999999999999</v>
      </c>
      <c r="L14">
        <f>J14-K14</f>
        <v>0.19000000000000128</v>
      </c>
      <c r="M14">
        <f>de_pip_fri!C21*3+de_pip_fri!D21</f>
        <v>174.7</v>
      </c>
      <c r="N14">
        <f>de_pip_fri!I21*3+de_pip_fri!J21</f>
        <v>36869</v>
      </c>
      <c r="O14">
        <f>H14+M14</f>
        <v>1039.7</v>
      </c>
      <c r="P14">
        <f>I14+N14</f>
        <v>36910.550000000003</v>
      </c>
      <c r="Q14">
        <f>L14+de_pip_fri!E21</f>
        <v>1.9910000000000012</v>
      </c>
      <c r="R14">
        <f>P14/4</f>
        <v>9227.6375000000007</v>
      </c>
    </row>
    <row r="15" spans="1:19">
      <c r="A15" s="4">
        <v>4</v>
      </c>
      <c r="B15" s="4">
        <v>19</v>
      </c>
      <c r="C15" s="4" t="s">
        <v>65</v>
      </c>
      <c r="D15" s="4">
        <v>8854</v>
      </c>
      <c r="E15" s="4">
        <v>48.1640625</v>
      </c>
      <c r="F15" s="4">
        <f>4158+1451+1498</f>
        <v>7107</v>
      </c>
      <c r="G15" s="4">
        <f xml:space="preserve"> 0.62109375+0.22265625+3.36328125</f>
        <v>4.20703125</v>
      </c>
      <c r="H15" s="4">
        <f t="shared" si="0"/>
        <v>1747</v>
      </c>
      <c r="I15" s="4">
        <f t="shared" si="1"/>
        <v>43.95703125</v>
      </c>
      <c r="J15">
        <v>14.2</v>
      </c>
      <c r="K15">
        <v>13.946</v>
      </c>
      <c r="L15">
        <f t="shared" si="2"/>
        <v>0.25399999999999956</v>
      </c>
      <c r="M15">
        <f>de_pip_fri!C22*3+de_pip_fri!D22</f>
        <v>366.8</v>
      </c>
      <c r="N15">
        <f>de_pip_fri!I22*3+de_pip_fri!J22</f>
        <v>73639</v>
      </c>
      <c r="O15">
        <f t="shared" ref="O15:O19" si="6">H15+M15</f>
        <v>2113.8000000000002</v>
      </c>
      <c r="P15">
        <f t="shared" ref="P15:P19" si="7">I15+N15</f>
        <v>73682.95703125</v>
      </c>
      <c r="Q15">
        <f>L15+de_pip_fri!E22</f>
        <v>2.2939999999999996</v>
      </c>
      <c r="R15">
        <f t="shared" ref="R15:R19" si="8">P15/4</f>
        <v>18420.7392578125</v>
      </c>
    </row>
    <row r="16" spans="1:19">
      <c r="A16" s="4">
        <v>4</v>
      </c>
      <c r="B16" s="4">
        <v>20</v>
      </c>
      <c r="C16" s="4" t="s">
        <v>65</v>
      </c>
      <c r="D16" s="4">
        <v>16637</v>
      </c>
      <c r="E16" s="4">
        <v>50.765625</v>
      </c>
      <c r="F16" s="4">
        <f>7805+2681+2896</f>
        <v>13382</v>
      </c>
      <c r="G16" s="4">
        <f>0.62109375+0.22265625+3.55078125</f>
        <v>4.39453125</v>
      </c>
      <c r="H16" s="4">
        <f t="shared" si="0"/>
        <v>3255</v>
      </c>
      <c r="I16" s="4">
        <f t="shared" si="1"/>
        <v>46.37109375</v>
      </c>
      <c r="J16">
        <v>15.118</v>
      </c>
      <c r="K16">
        <v>14.771000000000001</v>
      </c>
      <c r="L16">
        <f t="shared" si="2"/>
        <v>0.34699999999999953</v>
      </c>
      <c r="M16">
        <f>de_pip_fri!C23*3+de_pip_fri!D23</f>
        <v>732</v>
      </c>
      <c r="N16">
        <f>de_pip_fri!I23*3+de_pip_fri!J23</f>
        <v>147146</v>
      </c>
      <c r="O16">
        <f t="shared" si="6"/>
        <v>3987</v>
      </c>
      <c r="P16">
        <f t="shared" si="7"/>
        <v>147192.37109375</v>
      </c>
      <c r="Q16">
        <f>L16+de_pip_fri!E23</f>
        <v>2.6569999999999996</v>
      </c>
      <c r="R16">
        <f t="shared" si="8"/>
        <v>36798.0927734375</v>
      </c>
    </row>
    <row r="17" spans="1:18">
      <c r="A17" s="4">
        <v>4</v>
      </c>
      <c r="B17" s="4">
        <v>21</v>
      </c>
      <c r="C17" s="4" t="s">
        <v>65</v>
      </c>
      <c r="D17" s="4">
        <v>32267</v>
      </c>
      <c r="E17" s="4">
        <v>53.3671875</v>
      </c>
      <c r="F17" s="4">
        <f>14739+5158+5507</f>
        <v>25404</v>
      </c>
      <c r="G17" s="4">
        <f>0.62109375+0.22265625+3.7382812</f>
        <v>4.5820311999999994</v>
      </c>
      <c r="H17" s="4">
        <f t="shared" si="0"/>
        <v>6863</v>
      </c>
      <c r="I17" s="4">
        <f t="shared" si="1"/>
        <v>48.785156299999997</v>
      </c>
      <c r="J17">
        <v>15.276999999999999</v>
      </c>
      <c r="K17">
        <v>14.948</v>
      </c>
      <c r="L17">
        <f t="shared" si="2"/>
        <v>0.32899999999999885</v>
      </c>
      <c r="M17">
        <f>de_pip_fri!C24*3+de_pip_fri!D24</f>
        <v>1525</v>
      </c>
      <c r="N17">
        <f>de_pip_fri!I24*3+de_pip_fri!J24</f>
        <v>294163</v>
      </c>
      <c r="O17">
        <f t="shared" si="6"/>
        <v>8388</v>
      </c>
      <c r="P17">
        <f t="shared" si="7"/>
        <v>294211.7851563</v>
      </c>
      <c r="Q17">
        <f>L17+de_pip_fri!E24</f>
        <v>2.9289999999999989</v>
      </c>
      <c r="R17">
        <f t="shared" si="8"/>
        <v>73552.946289075</v>
      </c>
    </row>
    <row r="18" spans="1:18">
      <c r="A18" s="4">
        <v>4</v>
      </c>
      <c r="B18" s="4">
        <v>22</v>
      </c>
      <c r="C18" s="4" t="s">
        <v>65</v>
      </c>
      <c r="D18" s="4">
        <v>58408</v>
      </c>
      <c r="E18" s="4">
        <v>55.96875</v>
      </c>
      <c r="F18" s="4">
        <f>25017+ 8948+10543</f>
        <v>44508</v>
      </c>
      <c r="G18" s="4">
        <f xml:space="preserve"> 0.62109375 + 0.22265625+3.92578125</f>
        <v>4.76953125</v>
      </c>
      <c r="H18" s="4">
        <f t="shared" si="0"/>
        <v>13900</v>
      </c>
      <c r="I18" s="4">
        <f t="shared" si="1"/>
        <v>51.19921875</v>
      </c>
      <c r="J18">
        <v>15.743</v>
      </c>
      <c r="K18">
        <v>15.398</v>
      </c>
      <c r="L18">
        <f t="shared" si="2"/>
        <v>0.34500000000000064</v>
      </c>
      <c r="M18">
        <f>de_pip_fri!C25*3+de_pip_fri!D25</f>
        <v>3258</v>
      </c>
      <c r="N18">
        <f>de_pip_fri!I25*3+de_pip_fri!J25</f>
        <v>588191</v>
      </c>
      <c r="O18">
        <f t="shared" si="6"/>
        <v>17158</v>
      </c>
      <c r="P18">
        <f t="shared" si="7"/>
        <v>588242.19921875</v>
      </c>
      <c r="Q18">
        <f>L18+de_pip_fri!E25</f>
        <v>3.2350000000000008</v>
      </c>
      <c r="R18">
        <f t="shared" si="8"/>
        <v>147060.5498046875</v>
      </c>
    </row>
    <row r="19" spans="1:18">
      <c r="A19" s="4">
        <v>4</v>
      </c>
      <c r="B19" s="4">
        <v>23</v>
      </c>
      <c r="C19" s="4" t="s">
        <v>65</v>
      </c>
      <c r="D19" s="4">
        <f>D18*2</f>
        <v>116816</v>
      </c>
      <c r="E19" s="4">
        <f>E18+2.6</f>
        <v>58.568750000000001</v>
      </c>
      <c r="F19" s="4">
        <f>F18*2</f>
        <v>89016</v>
      </c>
      <c r="G19" s="4">
        <f>G18+0.18</f>
        <v>4.9495312499999997</v>
      </c>
      <c r="H19" s="4">
        <f t="shared" si="0"/>
        <v>27800</v>
      </c>
      <c r="I19" s="4">
        <f t="shared" si="1"/>
        <v>53.619218750000002</v>
      </c>
      <c r="J19">
        <f>J18+0.37</f>
        <v>16.113</v>
      </c>
      <c r="K19">
        <f>K18+0.34</f>
        <v>15.738</v>
      </c>
      <c r="L19">
        <f t="shared" si="2"/>
        <v>0.375</v>
      </c>
      <c r="M19">
        <f>de_pip_fri!C26*3+de_pip_fri!D26</f>
        <v>6741</v>
      </c>
      <c r="N19">
        <f>de_pip_fri!I26*3+de_pip_fri!J26</f>
        <v>1176223</v>
      </c>
      <c r="O19">
        <f t="shared" si="6"/>
        <v>34541</v>
      </c>
      <c r="P19">
        <f t="shared" si="7"/>
        <v>1176276.6192187499</v>
      </c>
      <c r="Q19">
        <f>L19+de_pip_fri!E26</f>
        <v>3.5750000000000002</v>
      </c>
      <c r="R19">
        <f t="shared" si="8"/>
        <v>294069.15480468748</v>
      </c>
    </row>
    <row r="20" spans="1:18">
      <c r="A20" s="4">
        <v>2</v>
      </c>
      <c r="B20" s="4">
        <v>18</v>
      </c>
      <c r="C20" s="4" t="s">
        <v>65</v>
      </c>
      <c r="H20" s="4">
        <f t="shared" si="0"/>
        <v>0</v>
      </c>
      <c r="I20" s="4">
        <f t="shared" si="1"/>
        <v>0</v>
      </c>
      <c r="L20">
        <f t="shared" si="2"/>
        <v>0</v>
      </c>
    </row>
    <row r="21" spans="1:18">
      <c r="A21" s="4">
        <v>2</v>
      </c>
      <c r="B21" s="4">
        <v>19</v>
      </c>
      <c r="C21" s="4" t="s">
        <v>65</v>
      </c>
      <c r="H21" s="4">
        <f t="shared" si="0"/>
        <v>0</v>
      </c>
      <c r="I21" s="4">
        <f t="shared" si="1"/>
        <v>0</v>
      </c>
      <c r="L21">
        <f t="shared" si="2"/>
        <v>0</v>
      </c>
    </row>
    <row r="22" spans="1:18">
      <c r="A22" s="4">
        <v>2</v>
      </c>
      <c r="B22" s="4">
        <v>20</v>
      </c>
      <c r="C22" s="4" t="s">
        <v>65</v>
      </c>
      <c r="H22" s="4">
        <f t="shared" si="0"/>
        <v>0</v>
      </c>
      <c r="I22" s="4">
        <f t="shared" si="1"/>
        <v>0</v>
      </c>
      <c r="L22">
        <f t="shared" si="2"/>
        <v>0</v>
      </c>
    </row>
    <row r="23" spans="1:18">
      <c r="A23" s="4">
        <v>2</v>
      </c>
      <c r="B23" s="4">
        <v>21</v>
      </c>
      <c r="C23" s="4" t="s">
        <v>65</v>
      </c>
      <c r="H23" s="4">
        <f t="shared" si="0"/>
        <v>0</v>
      </c>
      <c r="I23" s="4">
        <f t="shared" si="1"/>
        <v>0</v>
      </c>
      <c r="L23">
        <f t="shared" si="2"/>
        <v>0</v>
      </c>
    </row>
    <row r="24" spans="1:18">
      <c r="A24" s="4">
        <v>2</v>
      </c>
      <c r="B24" s="4">
        <v>22</v>
      </c>
      <c r="C24" s="4" t="s">
        <v>65</v>
      </c>
      <c r="H24" s="4">
        <f t="shared" si="0"/>
        <v>0</v>
      </c>
      <c r="I24" s="4">
        <f t="shared" si="1"/>
        <v>0</v>
      </c>
      <c r="L24">
        <f t="shared" si="2"/>
        <v>0</v>
      </c>
    </row>
    <row r="27" spans="1:18">
      <c r="A27" s="4" t="s">
        <v>129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Hyrax</vt:lpstr>
      <vt:lpstr>Virgo</vt:lpstr>
      <vt:lpstr>PIP_FRI</vt:lpstr>
      <vt:lpstr>WHIR &amp; STIR</vt:lpstr>
      <vt:lpstr>Dory</vt:lpstr>
      <vt:lpstr>PolyFRIM</vt:lpstr>
      <vt:lpstr>Orion</vt:lpstr>
      <vt:lpstr>Deepfold</vt:lpstr>
      <vt:lpstr>SNARK</vt:lpstr>
      <vt:lpstr>de_pip_fri</vt:lpstr>
      <vt:lpstr>de_dory</vt:lpstr>
      <vt:lpstr>de_demkzg</vt:lpstr>
      <vt:lpstr>de_snark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leeweihan</dc:creator>
  <cp:lastModifiedBy>liweihan</cp:lastModifiedBy>
  <cp:lastPrinted>2024-05-08T02:41:10Z</cp:lastPrinted>
  <dcterms:created xsi:type="dcterms:W3CDTF">2015-06-05T18:19:34Z</dcterms:created>
  <dcterms:modified xsi:type="dcterms:W3CDTF">2025-12-09T05:58:48Z</dcterms:modified>
</cp:coreProperties>
</file>